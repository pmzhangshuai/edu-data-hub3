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组织管理与机构建设" sheetId="1" r:id="rId1"/>
    <sheet name="教学保障" sheetId="3" r:id="rId2"/>
    <sheet name="教学运行与质量评价" sheetId="6" r:id="rId3"/>
    <sheet name="科研与学科建设" sheetId="4" r:id="rId4"/>
    <sheet name="教学产出与质量" sheetId="5" r:id="rId5"/>
    <sheet name="按年龄结构分层数据" sheetId="7" r:id="rId6"/>
    <sheet name="经费保障" sheetId="2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<sst xmlns="http://schemas.openxmlformats.org/spreadsheetml/2006/main" count="506" uniqueCount="268">
  <si>
    <r>
      <rPr>
        <sz val="20"/>
        <color theme="1"/>
        <rFont val="黑体"/>
        <charset val="134"/>
      </rPr>
      <t>附属医院数据统计汇总表</t>
    </r>
  </si>
  <si>
    <r>
      <rPr>
        <b/>
        <sz val="11"/>
        <color theme="1"/>
        <rFont val="Times New Roman"/>
        <charset val="134"/>
      </rPr>
      <t>1.</t>
    </r>
    <r>
      <rPr>
        <b/>
        <sz val="11"/>
        <color theme="1"/>
        <rFont val="黑体"/>
        <charset val="134"/>
      </rPr>
      <t>基本情况与组织领导</t>
    </r>
  </si>
  <si>
    <t>三级指标</t>
  </si>
  <si>
    <r>
      <rPr>
        <b/>
        <sz val="11"/>
        <color theme="1"/>
        <rFont val="黑体"/>
        <charset val="134"/>
      </rPr>
      <t>考核点</t>
    </r>
  </si>
  <si>
    <r>
      <rPr>
        <b/>
        <sz val="11"/>
        <color theme="1"/>
        <rFont val="黑体"/>
        <charset val="134"/>
      </rPr>
      <t>具体标准要求（常模）</t>
    </r>
  </si>
  <si>
    <r>
      <rPr>
        <b/>
        <sz val="11"/>
        <color theme="1"/>
        <rFont val="黑体"/>
        <charset val="134"/>
      </rPr>
      <t>二附院</t>
    </r>
  </si>
  <si>
    <t>三附院</t>
  </si>
  <si>
    <t>附属口腔医院</t>
  </si>
  <si>
    <t>兴义医院</t>
  </si>
  <si>
    <t>金阳医院</t>
  </si>
  <si>
    <t>铜仁市人民医院</t>
  </si>
  <si>
    <r>
      <rPr>
        <sz val="11"/>
        <color theme="1"/>
        <rFont val="微软雅黑"/>
        <charset val="134"/>
      </rPr>
      <t>基本信息</t>
    </r>
  </si>
  <si>
    <r>
      <rPr>
        <sz val="11"/>
        <color theme="1"/>
        <rFont val="微软雅黑"/>
        <charset val="134"/>
      </rPr>
      <t>医院等级</t>
    </r>
  </si>
  <si>
    <r>
      <rPr>
        <sz val="11"/>
        <color theme="1"/>
        <rFont val="微软雅黑"/>
        <charset val="134"/>
      </rPr>
      <t>综合医院：三级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微软雅黑"/>
        <charset val="134"/>
      </rPr>
      <t>专科医院：二级以上</t>
    </r>
  </si>
  <si>
    <r>
      <rPr>
        <sz val="11"/>
        <color theme="1"/>
        <rFont val="微软雅黑"/>
        <charset val="134"/>
      </rPr>
      <t>面积</t>
    </r>
  </si>
  <si>
    <r>
      <rPr>
        <sz val="11"/>
        <color theme="1"/>
        <rFont val="微软雅黑"/>
        <charset val="134"/>
      </rPr>
      <t>按实际填写（</t>
    </r>
    <r>
      <rPr>
        <sz val="11"/>
        <color theme="1"/>
        <rFont val="Times New Roman"/>
        <charset val="134"/>
      </rPr>
      <t>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</si>
  <si>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微软雅黑"/>
        <charset val="134"/>
      </rPr>
      <t>临床科室数</t>
    </r>
  </si>
  <si>
    <r>
      <rPr>
        <sz val="11"/>
        <color theme="1"/>
        <rFont val="微软雅黑"/>
        <charset val="134"/>
      </rPr>
      <t>按实际填写（个）</t>
    </r>
  </si>
  <si>
    <r>
      <rPr>
        <sz val="11"/>
        <color theme="1"/>
        <rFont val="微软雅黑"/>
        <charset val="134"/>
      </rPr>
      <t>编制床位数</t>
    </r>
  </si>
  <si>
    <r>
      <rPr>
        <sz val="11"/>
        <color theme="1"/>
        <rFont val="微软雅黑"/>
        <charset val="134"/>
      </rPr>
      <t>按实际填写（张）</t>
    </r>
  </si>
  <si>
    <t>实际床位数</t>
  </si>
  <si>
    <r>
      <rPr>
        <sz val="11"/>
        <color theme="1"/>
        <rFont val="微软雅黑"/>
        <charset val="134"/>
      </rPr>
      <t>教学病床数</t>
    </r>
  </si>
  <si>
    <r>
      <rPr>
        <sz val="11"/>
        <color theme="1"/>
        <rFont val="Times New Roman"/>
        <charset val="134"/>
      </rPr>
      <t>2-4</t>
    </r>
    <r>
      <rPr>
        <sz val="11"/>
        <color theme="1"/>
        <rFont val="微软雅黑"/>
        <charset val="134"/>
      </rPr>
      <t>张</t>
    </r>
  </si>
  <si>
    <r>
      <rPr>
        <sz val="11"/>
        <color theme="1"/>
        <rFont val="微软雅黑"/>
        <charset val="134"/>
      </rPr>
      <t>全院职工总数</t>
    </r>
  </si>
  <si>
    <r>
      <rPr>
        <sz val="11"/>
        <color theme="1"/>
        <rFont val="微软雅黑"/>
        <charset val="134"/>
      </rPr>
      <t>按实际填写（人）</t>
    </r>
  </si>
  <si>
    <r>
      <rPr>
        <sz val="11"/>
        <color theme="1"/>
        <rFont val="微软雅黑"/>
        <charset val="134"/>
      </rPr>
      <t>医技人员总数</t>
    </r>
  </si>
  <si>
    <r>
      <rPr>
        <sz val="11"/>
        <color theme="1"/>
        <rFont val="微软雅黑"/>
        <charset val="134"/>
      </rPr>
      <t>全院实习生总数</t>
    </r>
  </si>
  <si>
    <r>
      <rPr>
        <sz val="11"/>
        <color theme="1"/>
        <rFont val="微软雅黑"/>
        <charset val="134"/>
      </rPr>
      <t>本校实习生人数</t>
    </r>
  </si>
  <si>
    <t>主要领导与教学管理</t>
  </si>
  <si>
    <t>党委会、院长办公会专题研究教学、科研和学生管理工作次数</t>
  </si>
  <si>
    <r>
      <rPr>
        <sz val="11"/>
        <color theme="1"/>
        <rFont val="Times New Roman"/>
        <charset val="134"/>
      </rPr>
      <t>≥2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</si>
  <si>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党政主要领导、教学分管领导为本科生授课学时数</t>
    </r>
  </si>
  <si>
    <r>
      <rPr>
        <sz val="11"/>
        <color theme="1"/>
        <rFont val="Times New Roman"/>
        <charset val="134"/>
      </rPr>
      <t>≥4</t>
    </r>
    <r>
      <rPr>
        <sz val="11"/>
        <color theme="1"/>
        <rFont val="微软雅黑"/>
        <charset val="134"/>
      </rPr>
      <t>学时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学期</t>
    </r>
  </si>
  <si>
    <r>
      <rPr>
        <sz val="11"/>
        <color theme="1"/>
        <rFont val="微软雅黑"/>
        <charset val="134"/>
      </rPr>
      <t>分管领导与教学工作</t>
    </r>
  </si>
  <si>
    <r>
      <rPr>
        <sz val="11"/>
        <color theme="1"/>
        <rFont val="微软雅黑"/>
        <charset val="134"/>
      </rPr>
      <t>教学副院长组织教学工作会议次数</t>
    </r>
  </si>
  <si>
    <r>
      <rPr>
        <sz val="11"/>
        <color theme="1"/>
        <rFont val="Times New Roman"/>
        <charset val="134"/>
      </rPr>
      <t>≥2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学期</t>
    </r>
  </si>
  <si>
    <r>
      <rPr>
        <b/>
        <sz val="11"/>
        <color theme="1"/>
        <rFont val="Times New Roman"/>
        <charset val="134"/>
      </rPr>
      <t>2.</t>
    </r>
    <r>
      <rPr>
        <b/>
        <sz val="11"/>
        <color theme="1"/>
        <rFont val="黑体"/>
        <charset val="134"/>
      </rPr>
      <t>机构设置</t>
    </r>
  </si>
  <si>
    <r>
      <rPr>
        <sz val="11"/>
        <color theme="1"/>
        <rFont val="微软雅黑"/>
        <charset val="134"/>
      </rPr>
      <t>教学管理机制</t>
    </r>
  </si>
  <si>
    <t>教学管理科设置及人数</t>
  </si>
  <si>
    <r>
      <rPr>
        <sz val="11"/>
        <color theme="1"/>
        <rFont val="微软雅黑"/>
        <charset val="134"/>
      </rPr>
      <t>有（人）</t>
    </r>
  </si>
  <si>
    <t>教学管理人员为临床医学教育背景</t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</si>
  <si>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人</t>
    </r>
  </si>
  <si>
    <t>教学管理科具备医学类教育背景人员占比</t>
  </si>
  <si>
    <t>≥40%</t>
  </si>
  <si>
    <t>科研管理科设置及人数</t>
  </si>
  <si>
    <t>学生管理科设置及人数</t>
  </si>
  <si>
    <t>辅导员与学生比</t>
  </si>
  <si>
    <t>1:200</t>
  </si>
  <si>
    <r>
      <rPr>
        <sz val="11"/>
        <color theme="1"/>
        <rFont val="微软雅黑"/>
        <charset val="134"/>
      </rPr>
      <t>教学指导分委员会</t>
    </r>
  </si>
  <si>
    <t>教学指导分委员会设置及人数</t>
  </si>
  <si>
    <t>高级职称人数</t>
  </si>
  <si>
    <r>
      <rPr>
        <sz val="11"/>
        <color theme="1"/>
        <rFont val="微软雅黑"/>
        <charset val="134"/>
      </rPr>
      <t>高级职称人数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总人数</t>
    </r>
  </si>
  <si>
    <r>
      <rPr>
        <sz val="11"/>
        <color theme="1"/>
        <rFont val="微软雅黑"/>
        <charset val="134"/>
      </rPr>
      <t>教研室负责人人数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总人数</t>
    </r>
  </si>
  <si>
    <r>
      <rPr>
        <sz val="11"/>
        <color theme="1"/>
        <rFont val="微软雅黑"/>
        <charset val="134"/>
      </rPr>
      <t>教学督导分委员会</t>
    </r>
  </si>
  <si>
    <t>教学督导分委员会设置及人数</t>
  </si>
  <si>
    <r>
      <rPr>
        <sz val="11"/>
        <color theme="1"/>
        <rFont val="微软雅黑"/>
        <charset val="134"/>
      </rPr>
      <t>有</t>
    </r>
  </si>
  <si>
    <r>
      <rPr>
        <sz val="11"/>
        <color theme="1"/>
        <rFont val="微软雅黑"/>
        <charset val="134"/>
      </rPr>
      <t>高级职称人数</t>
    </r>
  </si>
  <si>
    <r>
      <rPr>
        <sz val="11"/>
        <color theme="1"/>
        <rFont val="微软雅黑"/>
        <charset val="134"/>
      </rPr>
      <t>高级职称数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总人数</t>
    </r>
  </si>
  <si>
    <r>
      <rPr>
        <sz val="11"/>
        <color theme="1"/>
        <rFont val="微软雅黑"/>
        <charset val="134"/>
      </rPr>
      <t>教研室负责人人数</t>
    </r>
  </si>
  <si>
    <r>
      <rPr>
        <sz val="11"/>
        <color theme="1"/>
        <rFont val="微软雅黑"/>
        <charset val="134"/>
      </rPr>
      <t>教研室</t>
    </r>
  </si>
  <si>
    <r>
      <rPr>
        <sz val="11"/>
        <color theme="1"/>
        <rFont val="微软雅黑"/>
        <charset val="134"/>
      </rPr>
      <t>教研室数</t>
    </r>
  </si>
  <si>
    <r>
      <rPr>
        <sz val="11"/>
        <color theme="1"/>
        <rFont val="微软雅黑"/>
        <charset val="134"/>
      </rPr>
      <t>内科设置</t>
    </r>
  </si>
  <si>
    <r>
      <rPr>
        <sz val="11"/>
        <color theme="1"/>
        <rFont val="微软雅黑"/>
        <charset val="134"/>
      </rPr>
      <t>外科设置</t>
    </r>
  </si>
  <si>
    <r>
      <rPr>
        <sz val="11"/>
        <color theme="1"/>
        <rFont val="微软雅黑"/>
        <charset val="134"/>
      </rPr>
      <t>妇产科设置</t>
    </r>
  </si>
  <si>
    <r>
      <rPr>
        <sz val="11"/>
        <color theme="1"/>
        <rFont val="微软雅黑"/>
        <charset val="134"/>
      </rPr>
      <t>儿科设置</t>
    </r>
  </si>
  <si>
    <r>
      <rPr>
        <sz val="11"/>
        <color theme="1"/>
        <rFont val="微软雅黑"/>
        <charset val="134"/>
      </rPr>
      <t>护理设置</t>
    </r>
  </si>
  <si>
    <r>
      <rPr>
        <sz val="11"/>
        <color theme="1"/>
        <rFont val="微软雅黑"/>
        <charset val="134"/>
      </rPr>
      <t>医技设置</t>
    </r>
  </si>
  <si>
    <t>有理论教学的教研室设置</t>
  </si>
  <si>
    <r>
      <rPr>
        <sz val="11"/>
        <color theme="1"/>
        <rFont val="微软雅黑"/>
        <charset val="134"/>
      </rPr>
      <t>临床技能中心</t>
    </r>
  </si>
  <si>
    <r>
      <rPr>
        <sz val="11"/>
        <color theme="1"/>
        <rFont val="微软雅黑"/>
        <charset val="134"/>
      </rPr>
      <t>临床技能中心设置及人员数</t>
    </r>
  </si>
  <si>
    <r>
      <rPr>
        <b/>
        <sz val="11"/>
        <color theme="1"/>
        <rFont val="Times New Roman"/>
        <charset val="134"/>
      </rPr>
      <t>3.</t>
    </r>
    <r>
      <rPr>
        <b/>
        <sz val="11"/>
        <color theme="1"/>
        <rFont val="黑体"/>
        <charset val="134"/>
      </rPr>
      <t>教学基础建设</t>
    </r>
  </si>
  <si>
    <r>
      <rPr>
        <b/>
        <sz val="11"/>
        <color theme="1"/>
        <rFont val="黑体"/>
        <charset val="134"/>
      </rPr>
      <t>三附院</t>
    </r>
  </si>
  <si>
    <r>
      <rPr>
        <sz val="11"/>
        <color theme="1"/>
        <rFont val="微软雅黑"/>
        <charset val="134"/>
      </rPr>
      <t>教学用房及配套设施</t>
    </r>
  </si>
  <si>
    <r>
      <rPr>
        <sz val="11"/>
        <color theme="1"/>
        <rFont val="微软雅黑"/>
        <charset val="134"/>
      </rPr>
      <t>生均教学行政用房面积</t>
    </r>
  </si>
  <si>
    <r>
      <rPr>
        <sz val="11"/>
        <color theme="1"/>
        <rFont val="Times New Roman"/>
        <charset val="134"/>
      </rPr>
      <t>≥14m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生</t>
    </r>
  </si>
  <si>
    <r>
      <rPr>
        <sz val="9"/>
        <color theme="1"/>
        <rFont val="宋体"/>
        <charset val="134"/>
      </rPr>
      <t>生均教学行政用房</t>
    </r>
    <r>
      <rPr>
        <sz val="10"/>
        <color theme="1"/>
        <rFont val="Times New Roman"/>
        <charset val="134"/>
      </rPr>
      <t>=</t>
    </r>
    <r>
      <rPr>
        <sz val="10"/>
        <color theme="1"/>
        <rFont val="宋体"/>
        <charset val="134"/>
      </rPr>
      <t>（教学及辅助用房面积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行政办公用房面积）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全日制在校生数。达到国家办学条件要求：指数据可低于普通高等学校基本办学条件指标（教育部教发[2004]2号文件）规定的合格标准，但必须高于限制招生的“黄牌警告”标准。教学行政用房：学校具有产权的教学用房、教学辅助用房和行政办公用房。教学用房：包括各类功能教室、各类实验室、研究室和校内实习、实训场所。各类功能教室包括普通教室、语音室、计算机教室、多媒体教室等。教学辅助用房：指直接为教学服务的教学准备室、教具陈列室、实验室的仪器库、体育馆、体育设备室、图书馆、资料室、备品库房等。行政办公用房：指学校党政机关办公用房及各院、系、部的教研室和行政办公用房。</t>
    </r>
  </si>
  <si>
    <r>
      <rPr>
        <sz val="11"/>
        <color theme="1"/>
        <rFont val="微软雅黑"/>
        <charset val="134"/>
      </rPr>
      <t>生均教室面积</t>
    </r>
  </si>
  <si>
    <r>
      <rPr>
        <sz val="11"/>
        <color theme="1"/>
        <rFont val="Times New Roman"/>
        <charset val="134"/>
      </rPr>
      <t>≥2.75m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生</t>
    </r>
  </si>
  <si>
    <r>
      <rPr>
        <sz val="11"/>
        <color theme="1"/>
        <rFont val="微软雅黑"/>
        <charset val="134"/>
      </rPr>
      <t>教室数</t>
    </r>
  </si>
  <si>
    <r>
      <rPr>
        <sz val="11"/>
        <color theme="1"/>
        <rFont val="微软雅黑"/>
        <charset val="134"/>
      </rPr>
      <t>按实际填写（间）</t>
    </r>
  </si>
  <si>
    <r>
      <rPr>
        <sz val="11"/>
        <color theme="1"/>
        <rFont val="微软雅黑"/>
        <charset val="134"/>
      </rPr>
      <t>智慧化教室数量</t>
    </r>
  </si>
  <si>
    <r>
      <rPr>
        <sz val="11"/>
        <color theme="1"/>
        <rFont val="微软雅黑"/>
        <charset val="134"/>
      </rPr>
      <t>智慧化教室覆盖率</t>
    </r>
  </si>
  <si>
    <r>
      <rPr>
        <sz val="11"/>
        <color theme="1"/>
        <rFont val="微软雅黑"/>
        <charset val="134"/>
      </rPr>
      <t>按实际填写（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微软雅黑"/>
        <charset val="134"/>
      </rPr>
      <t>）</t>
    </r>
  </si>
  <si>
    <r>
      <rPr>
        <sz val="11"/>
        <color theme="1"/>
        <rFont val="微软雅黑"/>
        <charset val="134"/>
      </rPr>
      <t>自习室数量</t>
    </r>
  </si>
  <si>
    <r>
      <rPr>
        <sz val="11"/>
        <color theme="1"/>
        <rFont val="微软雅黑"/>
        <charset val="134"/>
      </rPr>
      <t>值班室数量</t>
    </r>
  </si>
  <si>
    <r>
      <rPr>
        <sz val="11"/>
        <color theme="1"/>
        <rFont val="微软雅黑"/>
        <charset val="134"/>
      </rPr>
      <t>内、外、妇、儿各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间</t>
    </r>
  </si>
  <si>
    <r>
      <rPr>
        <sz val="11"/>
        <color theme="1"/>
        <rFont val="微软雅黑"/>
        <charset val="134"/>
      </rPr>
      <t>计算机室数量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</si>
  <si>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间</t>
    </r>
  </si>
  <si>
    <r>
      <rPr>
        <sz val="11"/>
        <color theme="1"/>
        <rFont val="微软雅黑"/>
        <charset val="134"/>
      </rPr>
      <t>图书资源</t>
    </r>
  </si>
  <si>
    <r>
      <rPr>
        <sz val="11"/>
        <color theme="1"/>
        <rFont val="微软雅黑"/>
        <charset val="134"/>
      </rPr>
      <t>图书阅览室数量</t>
    </r>
  </si>
  <si>
    <r>
      <rPr>
        <sz val="11"/>
        <color theme="1"/>
        <rFont val="微软雅黑"/>
        <charset val="134"/>
      </rPr>
      <t>生均纸质藏书量</t>
    </r>
  </si>
  <si>
    <r>
      <rPr>
        <sz val="11"/>
        <color theme="1"/>
        <rFont val="Times New Roman"/>
        <charset val="134"/>
      </rPr>
      <t>80</t>
    </r>
    <r>
      <rPr>
        <sz val="11"/>
        <color theme="1"/>
        <rFont val="微软雅黑"/>
        <charset val="134"/>
      </rPr>
      <t>册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生</t>
    </r>
  </si>
  <si>
    <r>
      <rPr>
        <sz val="11"/>
        <color theme="1"/>
        <rFont val="微软雅黑"/>
        <charset val="134"/>
      </rPr>
      <t>学生生活保障</t>
    </r>
  </si>
  <si>
    <r>
      <rPr>
        <sz val="11"/>
        <color theme="1"/>
        <rFont val="微软雅黑"/>
        <charset val="134"/>
      </rPr>
      <t>生均宿舍面积</t>
    </r>
  </si>
  <si>
    <r>
      <rPr>
        <sz val="11"/>
        <color theme="1"/>
        <rFont val="Times New Roman"/>
        <charset val="134"/>
      </rPr>
      <t>≥6m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生</t>
    </r>
  </si>
  <si>
    <r>
      <rPr>
        <sz val="11"/>
        <color theme="1"/>
        <rFont val="微软雅黑"/>
        <charset val="134"/>
      </rPr>
      <t>食堂</t>
    </r>
  </si>
  <si>
    <r>
      <rPr>
        <sz val="11"/>
        <color theme="1"/>
        <rFont val="微软雅黑"/>
        <charset val="134"/>
      </rPr>
      <t>文体活动中心</t>
    </r>
  </si>
  <si>
    <r>
      <rPr>
        <b/>
        <sz val="11"/>
        <color theme="1"/>
        <rFont val="Times New Roman"/>
        <charset val="134"/>
      </rPr>
      <t>4.</t>
    </r>
    <r>
      <rPr>
        <b/>
        <sz val="11"/>
        <color theme="1"/>
        <rFont val="黑体"/>
        <charset val="134"/>
      </rPr>
      <t>师资队伍建设</t>
    </r>
  </si>
  <si>
    <r>
      <rPr>
        <sz val="11"/>
        <color theme="1"/>
        <rFont val="微软雅黑"/>
        <charset val="134"/>
      </rPr>
      <t>师资队伍</t>
    </r>
  </si>
  <si>
    <r>
      <rPr>
        <sz val="11"/>
        <color theme="1"/>
        <rFont val="微软雅黑"/>
        <charset val="134"/>
      </rPr>
      <t>师资队伍建设是否纳入医院五年规划</t>
    </r>
  </si>
  <si>
    <r>
      <rPr>
        <sz val="11"/>
        <color theme="1"/>
        <rFont val="微软雅黑"/>
        <charset val="134"/>
      </rPr>
      <t>是</t>
    </r>
  </si>
  <si>
    <r>
      <rPr>
        <sz val="11"/>
        <color theme="1"/>
        <rFont val="微软雅黑"/>
        <charset val="134"/>
      </rPr>
      <t>师资队伍建设是否纳入医院年度计划</t>
    </r>
  </si>
  <si>
    <r>
      <rPr>
        <sz val="11"/>
        <color theme="1"/>
        <rFont val="微软雅黑"/>
        <charset val="134"/>
      </rPr>
      <t>师资队伍人员数</t>
    </r>
  </si>
  <si>
    <r>
      <rPr>
        <sz val="11"/>
        <color theme="1"/>
        <rFont val="微软雅黑"/>
        <charset val="134"/>
      </rPr>
      <t>本科学历比例</t>
    </r>
  </si>
  <si>
    <r>
      <rPr>
        <sz val="11"/>
        <color theme="1"/>
        <rFont val="微软雅黑"/>
        <charset val="134"/>
      </rPr>
      <t>博士、硕士占比</t>
    </r>
  </si>
  <si>
    <t>≥30%</t>
  </si>
  <si>
    <t>高级职称理论课授课比例</t>
  </si>
  <si>
    <t>≥70%</t>
  </si>
  <si>
    <r>
      <rPr>
        <sz val="11"/>
        <color theme="1"/>
        <rFont val="微软雅黑"/>
        <charset val="134"/>
      </rPr>
      <t>师生比</t>
    </r>
  </si>
  <si>
    <t>≥1:16</t>
  </si>
  <si>
    <t>高级职称比例</t>
  </si>
  <si>
    <t>高级职称医师比例</t>
  </si>
  <si>
    <r>
      <rPr>
        <sz val="11"/>
        <color theme="1"/>
        <rFont val="微软雅黑"/>
        <charset val="134"/>
      </rPr>
      <t>高级职称医师中有教学系列职称教师比例</t>
    </r>
  </si>
  <si>
    <t>≥50%</t>
  </si>
  <si>
    <r>
      <rPr>
        <sz val="11"/>
        <color theme="1"/>
        <rFont val="Times New Roman"/>
        <charset val="134"/>
      </rPr>
      <t>50</t>
    </r>
    <r>
      <rPr>
        <sz val="11"/>
        <color theme="1"/>
        <rFont val="微软雅黑"/>
        <charset val="134"/>
      </rPr>
      <t>岁及以下人员高级职称占比</t>
    </r>
  </si>
  <si>
    <t>≥35%</t>
  </si>
  <si>
    <t>教师资格证持有率</t>
  </si>
  <si>
    <t>按实际填写（%）</t>
  </si>
  <si>
    <r>
      <rPr>
        <sz val="11"/>
        <color theme="1"/>
        <rFont val="微软雅黑"/>
        <charset val="134"/>
      </rPr>
      <t>师资培训</t>
    </r>
  </si>
  <si>
    <t>派遣管理人员参加校级及以上师资培训次数</t>
  </si>
  <si>
    <r>
      <rPr>
        <sz val="11"/>
        <color theme="1"/>
        <rFont val="微软雅黑"/>
        <charset val="134"/>
      </rPr>
      <t>院内师资培训次数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</si>
  <si>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</si>
  <si>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授课教师参训比例</t>
    </r>
  </si>
  <si>
    <t>≥80%</t>
  </si>
  <si>
    <r>
      <rPr>
        <sz val="11"/>
        <color theme="1"/>
        <rFont val="微软雅黑"/>
        <charset val="134"/>
      </rPr>
      <t>会议交流</t>
    </r>
  </si>
  <si>
    <r>
      <rPr>
        <sz val="11"/>
        <color theme="1"/>
        <rFont val="微软雅黑"/>
        <charset val="134"/>
      </rPr>
      <t>教师参加学术会议、学术交流人次</t>
    </r>
  </si>
  <si>
    <r>
      <rPr>
        <sz val="11"/>
        <color theme="1"/>
        <rFont val="微软雅黑"/>
        <charset val="134"/>
      </rPr>
      <t>＞</t>
    </r>
    <r>
      <rPr>
        <sz val="11"/>
        <color theme="1"/>
        <rFont val="Times New Roman"/>
        <charset val="134"/>
      </rPr>
      <t>20</t>
    </r>
    <r>
      <rPr>
        <sz val="11"/>
        <color theme="1"/>
        <rFont val="微软雅黑"/>
        <charset val="134"/>
      </rPr>
      <t>人次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</si>
  <si>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6"/>
        <color theme="1"/>
        <rFont val="宋体"/>
        <charset val="134"/>
      </rPr>
      <t>硕士人数</t>
    </r>
    <r>
      <rPr>
        <sz val="6"/>
        <color theme="1"/>
        <rFont val="Times New Roman"/>
        <charset val="134"/>
      </rPr>
      <t>336</t>
    </r>
    <r>
      <rPr>
        <sz val="6"/>
        <color theme="1"/>
        <rFont val="宋体"/>
        <charset val="134"/>
      </rPr>
      <t>人、博士</t>
    </r>
    <r>
      <rPr>
        <sz val="6"/>
        <color theme="1"/>
        <rFont val="Times New Roman"/>
        <charset val="134"/>
      </rPr>
      <t>33</t>
    </r>
    <r>
      <rPr>
        <sz val="6"/>
        <color theme="1"/>
        <rFont val="宋体"/>
        <charset val="134"/>
      </rPr>
      <t>人</t>
    </r>
  </si>
  <si>
    <r>
      <rPr>
        <b/>
        <sz val="11"/>
        <color theme="1"/>
        <rFont val="Times New Roman"/>
        <charset val="134"/>
      </rPr>
      <t>5.</t>
    </r>
    <r>
      <rPr>
        <b/>
        <sz val="11"/>
        <color theme="1"/>
        <rFont val="黑体"/>
        <charset val="134"/>
      </rPr>
      <t>教育教学经费保障</t>
    </r>
  </si>
  <si>
    <r>
      <rPr>
        <sz val="11"/>
        <color theme="1"/>
        <rFont val="微软雅黑"/>
        <charset val="134"/>
      </rPr>
      <t>教育教学经费投入</t>
    </r>
  </si>
  <si>
    <r>
      <rPr>
        <sz val="11"/>
        <color theme="1"/>
        <rFont val="Times New Roman"/>
        <charset val="134"/>
      </rPr>
      <t>2022</t>
    </r>
    <r>
      <rPr>
        <sz val="11"/>
        <color theme="1"/>
        <rFont val="微软雅黑"/>
        <charset val="134"/>
      </rPr>
      <t>年医务性收入</t>
    </r>
  </si>
  <si>
    <r>
      <rPr>
        <sz val="11"/>
        <color theme="1"/>
        <rFont val="微软雅黑"/>
        <charset val="134"/>
      </rPr>
      <t>按实际填写（万元）</t>
    </r>
  </si>
  <si>
    <r>
      <rPr>
        <sz val="11"/>
        <color theme="1"/>
        <rFont val="微软雅黑"/>
        <charset val="134"/>
      </rPr>
      <t>教育经费</t>
    </r>
  </si>
  <si>
    <r>
      <rPr>
        <sz val="11"/>
        <color theme="1"/>
        <rFont val="微软雅黑"/>
        <charset val="134"/>
      </rPr>
      <t>投入比例</t>
    </r>
  </si>
  <si>
    <r>
      <rPr>
        <sz val="11"/>
        <color theme="1"/>
        <rFont val="Times New Roman"/>
        <charset val="134"/>
      </rPr>
      <t>≥</t>
    </r>
    <r>
      <rPr>
        <sz val="11"/>
        <color theme="1"/>
        <rFont val="微软雅黑"/>
        <charset val="134"/>
      </rPr>
      <t>上一年度医务性总额</t>
    </r>
    <r>
      <rPr>
        <sz val="11"/>
        <color theme="1"/>
        <rFont val="Times New Roman"/>
        <charset val="134"/>
      </rPr>
      <t>1-3%</t>
    </r>
  </si>
  <si>
    <r>
      <rPr>
        <sz val="11"/>
        <color theme="1"/>
        <rFont val="Times New Roman"/>
        <charset val="134"/>
      </rPr>
      <t>2023</t>
    </r>
    <r>
      <rPr>
        <sz val="11"/>
        <color theme="1"/>
        <rFont val="微软雅黑"/>
        <charset val="134"/>
      </rPr>
      <t>年医务性收入</t>
    </r>
  </si>
  <si>
    <r>
      <rPr>
        <sz val="11"/>
        <color theme="1"/>
        <rFont val="Times New Roman"/>
        <charset val="134"/>
      </rPr>
      <t>2024</t>
    </r>
    <r>
      <rPr>
        <sz val="11"/>
        <color theme="1"/>
        <rFont val="微软雅黑"/>
        <charset val="134"/>
      </rPr>
      <t>年医务性收入</t>
    </r>
  </si>
  <si>
    <r>
      <rPr>
        <sz val="11"/>
        <color theme="1"/>
        <rFont val="微软雅黑"/>
        <charset val="134"/>
      </rPr>
      <t>本年度预算经费</t>
    </r>
  </si>
  <si>
    <r>
      <rPr>
        <sz val="11"/>
        <color theme="1"/>
        <rFont val="微软雅黑"/>
        <charset val="134"/>
      </rPr>
      <t>学生经费</t>
    </r>
  </si>
  <si>
    <r>
      <rPr>
        <sz val="11"/>
        <color theme="1"/>
        <rFont val="微软雅黑"/>
        <charset val="134"/>
      </rPr>
      <t>科研经费</t>
    </r>
  </si>
  <si>
    <r>
      <rPr>
        <sz val="11"/>
        <color theme="1"/>
        <rFont val="微软雅黑"/>
        <charset val="134"/>
      </rPr>
      <t>教育经费用途</t>
    </r>
  </si>
  <si>
    <r>
      <rPr>
        <sz val="11"/>
        <color theme="1"/>
        <rFont val="微软雅黑"/>
        <charset val="134"/>
      </rPr>
      <t>师资培养（培训）</t>
    </r>
  </si>
  <si>
    <r>
      <rPr>
        <sz val="11"/>
        <color theme="1"/>
        <rFont val="微软雅黑"/>
        <charset val="134"/>
      </rPr>
      <t>课酬与教学奖励</t>
    </r>
  </si>
  <si>
    <r>
      <rPr>
        <sz val="11"/>
        <color theme="1"/>
        <rFont val="微软雅黑"/>
        <charset val="134"/>
      </rPr>
      <t>教学竞赛</t>
    </r>
  </si>
  <si>
    <r>
      <rPr>
        <sz val="11"/>
        <color theme="1"/>
        <rFont val="微软雅黑"/>
        <charset val="134"/>
      </rPr>
      <t>教学会议</t>
    </r>
  </si>
  <si>
    <r>
      <rPr>
        <sz val="11"/>
        <color theme="1"/>
        <rFont val="微软雅黑"/>
        <charset val="134"/>
      </rPr>
      <t>师生评优评先</t>
    </r>
  </si>
  <si>
    <r>
      <rPr>
        <sz val="11"/>
        <color theme="1"/>
        <rFont val="微软雅黑"/>
        <charset val="134"/>
      </rPr>
      <t>学生管理培养</t>
    </r>
  </si>
  <si>
    <r>
      <rPr>
        <sz val="11"/>
        <color theme="1"/>
        <rFont val="微软雅黑"/>
        <charset val="134"/>
      </rPr>
      <t>就业指导</t>
    </r>
  </si>
  <si>
    <r>
      <rPr>
        <sz val="11"/>
        <color theme="1"/>
        <rFont val="微软雅黑"/>
        <charset val="134"/>
      </rPr>
      <t>其他</t>
    </r>
  </si>
  <si>
    <r>
      <rPr>
        <b/>
        <sz val="11"/>
        <color theme="1"/>
        <rFont val="Times New Roman"/>
        <charset val="134"/>
      </rPr>
      <t>6.</t>
    </r>
    <r>
      <rPr>
        <b/>
        <sz val="11"/>
        <color theme="1"/>
        <rFont val="黑体"/>
        <charset val="134"/>
      </rPr>
      <t>教学运行与质量评价</t>
    </r>
  </si>
  <si>
    <r>
      <rPr>
        <b/>
        <sz val="11"/>
        <color theme="1"/>
        <rFont val="黑体"/>
        <charset val="134"/>
      </rPr>
      <t>三级指标</t>
    </r>
  </si>
  <si>
    <t>2024年</t>
  </si>
  <si>
    <t>2025年</t>
  </si>
  <si>
    <r>
      <rPr>
        <sz val="11"/>
        <color theme="1"/>
        <rFont val="微软雅黑"/>
        <charset val="134"/>
      </rPr>
      <t>理论教学</t>
    </r>
  </si>
  <si>
    <r>
      <rPr>
        <sz val="11"/>
        <color theme="1"/>
        <rFont val="微软雅黑"/>
        <charset val="134"/>
      </rPr>
      <t>集体备课次数</t>
    </r>
  </si>
  <si>
    <r>
      <rPr>
        <sz val="11"/>
        <color theme="1"/>
        <rFont val="微软雅黑"/>
        <charset val="134"/>
      </rPr>
      <t>按实际填写（次）</t>
    </r>
  </si>
  <si>
    <r>
      <rPr>
        <sz val="11"/>
        <color theme="1"/>
        <rFont val="微软雅黑"/>
        <charset val="134"/>
      </rPr>
      <t>教师试讲人数</t>
    </r>
  </si>
  <si>
    <r>
      <rPr>
        <sz val="11"/>
        <color theme="1"/>
        <rFont val="微软雅黑"/>
        <charset val="134"/>
      </rPr>
      <t>教师试讲通过率</t>
    </r>
  </si>
  <si>
    <r>
      <rPr>
        <sz val="11"/>
        <color theme="1"/>
        <rFont val="微软雅黑"/>
        <charset val="134"/>
      </rPr>
      <t>听评课</t>
    </r>
  </si>
  <si>
    <r>
      <rPr>
        <sz val="11"/>
        <color theme="1"/>
        <rFont val="微软雅黑"/>
        <charset val="134"/>
      </rPr>
      <t>教学查房</t>
    </r>
  </si>
  <si>
    <r>
      <rPr>
        <sz val="11"/>
        <color theme="1"/>
        <rFont val="微软雅黑"/>
        <charset val="134"/>
      </rPr>
      <t>每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微软雅黑"/>
        <charset val="134"/>
      </rPr>
      <t>周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微软雅黑"/>
        <charset val="134"/>
      </rPr>
      <t>次</t>
    </r>
  </si>
  <si>
    <r>
      <rPr>
        <sz val="11"/>
        <color theme="1"/>
        <rFont val="微软雅黑"/>
        <charset val="134"/>
      </rPr>
      <t>病例讨论</t>
    </r>
  </si>
  <si>
    <r>
      <rPr>
        <sz val="11"/>
        <color theme="1"/>
        <rFont val="Times New Roman"/>
        <charset val="134"/>
      </rPr>
      <t>≥2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月</t>
    </r>
  </si>
  <si>
    <r>
      <rPr>
        <sz val="11"/>
        <color theme="1"/>
        <rFont val="微软雅黑"/>
        <charset val="134"/>
      </rPr>
      <t>实习讲座（院级）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</si>
  <si>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月</t>
    </r>
  </si>
  <si>
    <r>
      <rPr>
        <sz val="11"/>
        <color theme="1"/>
        <rFont val="微软雅黑"/>
        <charset val="134"/>
      </rPr>
      <t>实习讲座（教研室）</t>
    </r>
  </si>
  <si>
    <r>
      <rPr>
        <sz val="11"/>
        <color theme="1"/>
        <rFont val="Times New Roman"/>
        <charset val="134"/>
      </rPr>
      <t>≥2</t>
    </r>
    <r>
      <rPr>
        <sz val="11"/>
        <color theme="1"/>
        <rFont val="微软雅黑"/>
        <charset val="134"/>
      </rPr>
      <t>学时</t>
    </r>
    <r>
      <rPr>
        <sz val="11"/>
        <color theme="1"/>
        <rFont val="Times New Roman"/>
        <charset val="134"/>
      </rPr>
      <t>/1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周</t>
    </r>
  </si>
  <si>
    <r>
      <rPr>
        <sz val="11"/>
        <color theme="1"/>
        <rFont val="微软雅黑"/>
        <charset val="134"/>
      </rPr>
      <t>召开专题会议次数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</si>
  <si>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次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学期</t>
    </r>
  </si>
  <si>
    <r>
      <rPr>
        <b/>
        <sz val="11"/>
        <color theme="1"/>
        <rFont val="Times New Roman"/>
        <charset val="134"/>
      </rPr>
      <t>7.</t>
    </r>
    <r>
      <rPr>
        <b/>
        <sz val="11"/>
        <color theme="1"/>
        <rFont val="黑体"/>
        <charset val="134"/>
      </rPr>
      <t>科研与学科建设</t>
    </r>
  </si>
  <si>
    <r>
      <rPr>
        <b/>
        <sz val="11"/>
        <color theme="1"/>
        <rFont val="Times New Roman"/>
        <charset val="134"/>
      </rPr>
      <t>2022</t>
    </r>
    <r>
      <rPr>
        <b/>
        <sz val="11"/>
        <color theme="1"/>
        <rFont val="黑体"/>
        <charset val="134"/>
      </rPr>
      <t>年</t>
    </r>
  </si>
  <si>
    <r>
      <rPr>
        <b/>
        <sz val="11"/>
        <color theme="1"/>
        <rFont val="Times New Roman"/>
        <charset val="134"/>
      </rPr>
      <t>2023</t>
    </r>
    <r>
      <rPr>
        <b/>
        <sz val="11"/>
        <color theme="1"/>
        <rFont val="黑体"/>
        <charset val="134"/>
      </rPr>
      <t>年</t>
    </r>
  </si>
  <si>
    <r>
      <rPr>
        <b/>
        <sz val="11"/>
        <color theme="1"/>
        <rFont val="Times New Roman"/>
        <charset val="134"/>
      </rPr>
      <t>2024</t>
    </r>
    <r>
      <rPr>
        <b/>
        <sz val="11"/>
        <color theme="1"/>
        <rFont val="黑体"/>
        <charset val="134"/>
      </rPr>
      <t>年</t>
    </r>
  </si>
  <si>
    <r>
      <rPr>
        <sz val="11"/>
        <color theme="1"/>
        <rFont val="微软雅黑"/>
        <charset val="134"/>
      </rPr>
      <t>科学研究</t>
    </r>
  </si>
  <si>
    <t>近三年申报项目</t>
  </si>
  <si>
    <r>
      <rPr>
        <sz val="11"/>
        <color theme="1"/>
        <rFont val="Times New Roman"/>
        <charset val="134"/>
      </rPr>
      <t>≥10</t>
    </r>
    <r>
      <rPr>
        <sz val="11"/>
        <color theme="1"/>
        <rFont val="微软雅黑"/>
        <charset val="134"/>
      </rPr>
      <t>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</si>
  <si>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t>近三年获批项目</t>
  </si>
  <si>
    <r>
      <rPr>
        <sz val="11"/>
        <color theme="1"/>
        <rFont val="微软雅黑"/>
        <charset val="134"/>
      </rPr>
      <t>申报国家级项目占比</t>
    </r>
  </si>
  <si>
    <t>≥20%</t>
  </si>
  <si>
    <r>
      <rPr>
        <sz val="11"/>
        <color theme="1"/>
        <rFont val="微软雅黑"/>
        <charset val="134"/>
      </rPr>
      <t>获批项目经费总额及年均增长率</t>
    </r>
  </si>
  <si>
    <t>≥10%</t>
  </si>
  <si>
    <r>
      <rPr>
        <sz val="11"/>
        <color theme="1"/>
        <rFont val="微软雅黑"/>
        <charset val="134"/>
      </rPr>
      <t>近三年发表论文</t>
    </r>
  </si>
  <si>
    <r>
      <rPr>
        <sz val="11"/>
        <color theme="1"/>
        <rFont val="Times New Roman"/>
        <charset val="134"/>
      </rPr>
      <t>≥10</t>
    </r>
    <r>
      <rPr>
        <sz val="11"/>
        <color theme="1"/>
        <rFont val="微软雅黑"/>
        <charset val="134"/>
      </rPr>
      <t>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</si>
  <si>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其中发表</t>
    </r>
    <r>
      <rPr>
        <sz val="11"/>
        <color theme="1"/>
        <rFont val="Times New Roman"/>
        <charset val="134"/>
      </rPr>
      <t>SCI/SSCI</t>
    </r>
    <r>
      <rPr>
        <sz val="11"/>
        <color theme="1"/>
        <rFont val="微软雅黑"/>
        <charset val="134"/>
      </rPr>
      <t>论文</t>
    </r>
  </si>
  <si>
    <r>
      <rPr>
        <sz val="11"/>
        <color theme="1"/>
        <rFont val="Times New Roman"/>
        <charset val="134"/>
      </rPr>
      <t>≥5</t>
    </r>
    <r>
      <rPr>
        <sz val="11"/>
        <color theme="1"/>
        <rFont val="微软雅黑"/>
        <charset val="134"/>
      </rPr>
      <t>篇</t>
    </r>
  </si>
  <si>
    <r>
      <rPr>
        <sz val="11"/>
        <color theme="1"/>
        <rFont val="微软雅黑"/>
        <charset val="134"/>
      </rPr>
      <t>申请发明专利</t>
    </r>
  </si>
  <si>
    <r>
      <rPr>
        <sz val="11"/>
        <color theme="1"/>
        <rFont val="Times New Roman"/>
        <charset val="134"/>
      </rPr>
      <t>≥3</t>
    </r>
    <r>
      <rPr>
        <sz val="11"/>
        <color theme="1"/>
        <rFont val="微软雅黑"/>
        <charset val="134"/>
      </rPr>
      <t>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</si>
  <si>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获得横向委托项目</t>
    </r>
  </si>
  <si>
    <r>
      <rPr>
        <sz val="11"/>
        <color theme="1"/>
        <rFont val="Times New Roman"/>
        <charset val="134"/>
      </rPr>
      <t>≥5</t>
    </r>
    <r>
      <rPr>
        <sz val="11"/>
        <color theme="1"/>
        <rFont val="微软雅黑"/>
        <charset val="134"/>
      </rPr>
      <t>万元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</si>
  <si>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教育教学改革研究</t>
    </r>
  </si>
  <si>
    <r>
      <rPr>
        <sz val="11"/>
        <color theme="1"/>
        <rFont val="微软雅黑"/>
        <charset val="134"/>
      </rPr>
      <t>近三年申报校级及以上项目</t>
    </r>
  </si>
  <si>
    <r>
      <rPr>
        <sz val="11"/>
        <color theme="1"/>
        <rFont val="Times New Roman"/>
        <charset val="134"/>
      </rPr>
      <t>≥5</t>
    </r>
    <r>
      <rPr>
        <sz val="11"/>
        <color theme="1"/>
        <rFont val="微软雅黑"/>
        <charset val="134"/>
      </rPr>
      <t>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</si>
  <si>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近三年获批校级及以上项目</t>
    </r>
  </si>
  <si>
    <r>
      <rPr>
        <sz val="11"/>
        <color theme="1"/>
        <rFont val="Times New Roman"/>
        <charset val="134"/>
      </rPr>
      <t>≥5</t>
    </r>
    <r>
      <rPr>
        <sz val="11"/>
        <color theme="1"/>
        <rFont val="微软雅黑"/>
        <charset val="134"/>
      </rPr>
      <t>篇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微软雅黑"/>
        <charset val="134"/>
      </rPr>
      <t>年</t>
    </r>
  </si>
  <si>
    <r>
      <rPr>
        <sz val="11"/>
        <color theme="1"/>
        <rFont val="微软雅黑"/>
        <charset val="134"/>
      </rPr>
      <t>其中发表核心期刊（</t>
    </r>
    <r>
      <rPr>
        <sz val="11"/>
        <color theme="1"/>
        <rFont val="Times New Roman"/>
        <charset val="134"/>
      </rPr>
      <t>SCI/SSCI</t>
    </r>
    <r>
      <rPr>
        <sz val="11"/>
        <color theme="1"/>
        <rFont val="宋体"/>
        <charset val="134"/>
      </rPr>
      <t>）</t>
    </r>
    <r>
      <rPr>
        <sz val="11"/>
        <color theme="1"/>
        <rFont val="微软雅黑"/>
        <charset val="134"/>
      </rPr>
      <t>论文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</si>
  <si>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篇</t>
    </r>
  </si>
  <si>
    <r>
      <rPr>
        <sz val="11"/>
        <color theme="1"/>
        <rFont val="微软雅黑"/>
        <charset val="134"/>
      </rPr>
      <t>教学成果奖</t>
    </r>
  </si>
  <si>
    <r>
      <rPr>
        <sz val="11"/>
        <color theme="1"/>
        <rFont val="微软雅黑"/>
        <charset val="134"/>
      </rPr>
      <t>近三年参与校级及省级申报数</t>
    </r>
  </si>
  <si>
    <r>
      <rPr>
        <sz val="11"/>
        <color theme="1"/>
        <rFont val="Times New Roman"/>
        <charset val="134"/>
      </rPr>
      <t>≥2</t>
    </r>
    <r>
      <rPr>
        <sz val="11"/>
        <color theme="1"/>
        <rFont val="微软雅黑"/>
        <charset val="134"/>
      </rPr>
      <t>项</t>
    </r>
  </si>
  <si>
    <r>
      <rPr>
        <sz val="11"/>
        <color theme="1"/>
        <rFont val="微软雅黑"/>
        <charset val="134"/>
      </rPr>
      <t>获校级及以上成果奖数</t>
    </r>
  </si>
  <si>
    <r>
      <rPr>
        <sz val="11"/>
        <color theme="1"/>
        <rFont val="Times New Roman"/>
        <charset val="134"/>
      </rPr>
      <t>≥1</t>
    </r>
    <r>
      <rPr>
        <sz val="11"/>
        <color theme="1"/>
        <rFont val="微软雅黑"/>
        <charset val="134"/>
      </rPr>
      <t>项</t>
    </r>
  </si>
  <si>
    <r>
      <rPr>
        <sz val="11"/>
        <color theme="1"/>
        <rFont val="微软雅黑"/>
        <charset val="134"/>
      </rPr>
      <t>课程建设、混合式教学、教学数字化变革</t>
    </r>
  </si>
  <si>
    <r>
      <rPr>
        <sz val="11"/>
        <color theme="1"/>
        <rFont val="微软雅黑"/>
        <charset val="134"/>
      </rPr>
      <t>国家一流课程建设数</t>
    </r>
  </si>
  <si>
    <r>
      <rPr>
        <sz val="11"/>
        <color theme="1"/>
        <rFont val="微软雅黑"/>
        <charset val="134"/>
      </rPr>
      <t>按实际填写（门）</t>
    </r>
  </si>
  <si>
    <r>
      <rPr>
        <sz val="11"/>
        <color theme="1"/>
        <rFont val="微软雅黑"/>
        <charset val="134"/>
      </rPr>
      <t>省级一流课程建设数</t>
    </r>
  </si>
  <si>
    <r>
      <rPr>
        <sz val="11"/>
        <color theme="1"/>
        <rFont val="微软雅黑"/>
        <charset val="134"/>
      </rPr>
      <t>临床主干课程超星学习通使用率</t>
    </r>
  </si>
  <si>
    <r>
      <rPr>
        <sz val="11"/>
        <color theme="1"/>
        <rFont val="微软雅黑"/>
        <charset val="134"/>
      </rPr>
      <t>混合式教学每门课程年均案例数</t>
    </r>
  </si>
  <si>
    <r>
      <rPr>
        <sz val="11"/>
        <color theme="1"/>
        <rFont val="Times New Roman"/>
        <charset val="134"/>
      </rPr>
      <t>≥10</t>
    </r>
    <r>
      <rPr>
        <sz val="11"/>
        <color theme="1"/>
        <rFont val="微软雅黑"/>
        <charset val="134"/>
      </rPr>
      <t>个</t>
    </r>
  </si>
  <si>
    <r>
      <rPr>
        <sz val="11"/>
        <color theme="1"/>
        <rFont val="微软雅黑"/>
        <charset val="134"/>
      </rPr>
      <t>学生参与混合式教学满意度</t>
    </r>
  </si>
  <si>
    <t>≥85%</t>
  </si>
  <si>
    <r>
      <rPr>
        <b/>
        <sz val="11"/>
        <color theme="1"/>
        <rFont val="Times New Roman"/>
        <charset val="134"/>
      </rPr>
      <t>8.</t>
    </r>
    <r>
      <rPr>
        <b/>
        <sz val="11"/>
        <color theme="1"/>
        <rFont val="黑体"/>
        <charset val="134"/>
      </rPr>
      <t>教学产出与质量</t>
    </r>
  </si>
  <si>
    <r>
      <rPr>
        <sz val="11"/>
        <color theme="1"/>
        <rFont val="微软雅黑"/>
        <charset val="134"/>
      </rPr>
      <t>毕业生就业</t>
    </r>
  </si>
  <si>
    <r>
      <rPr>
        <sz val="11"/>
        <color theme="1"/>
        <rFont val="微软雅黑"/>
        <charset val="134"/>
      </rPr>
      <t>毕业生年终就业率（本科生）</t>
    </r>
  </si>
  <si>
    <r>
      <rPr>
        <sz val="11"/>
        <color theme="1"/>
        <rFont val="微软雅黑"/>
        <charset val="134"/>
      </rPr>
      <t>不低于国家、学校要求水平</t>
    </r>
  </si>
  <si>
    <r>
      <rPr>
        <sz val="11"/>
        <color theme="1"/>
        <rFont val="微软雅黑"/>
        <charset val="134"/>
      </rPr>
      <t>毕业生年终就业率（研究生）</t>
    </r>
  </si>
  <si>
    <r>
      <rPr>
        <sz val="11"/>
        <color theme="1"/>
        <rFont val="微软雅黑"/>
        <charset val="134"/>
      </rPr>
      <t>规培录取率</t>
    </r>
  </si>
  <si>
    <r>
      <rPr>
        <sz val="11"/>
        <color theme="1"/>
        <rFont val="微软雅黑"/>
        <charset val="134"/>
      </rPr>
      <t>不低于国家水平</t>
    </r>
  </si>
  <si>
    <r>
      <rPr>
        <sz val="11"/>
        <color theme="1"/>
        <rFont val="微软雅黑"/>
        <charset val="134"/>
      </rPr>
      <t>研究生录取率</t>
    </r>
  </si>
  <si>
    <r>
      <rPr>
        <sz val="11"/>
        <color theme="1"/>
        <rFont val="微软雅黑"/>
        <charset val="134"/>
      </rPr>
      <t>不低于学校平均水平</t>
    </r>
  </si>
  <si>
    <r>
      <rPr>
        <sz val="11"/>
        <color theme="1"/>
        <rFont val="微软雅黑"/>
        <charset val="134"/>
      </rPr>
      <t>执业考试</t>
    </r>
  </si>
  <si>
    <t>本科生执业医师资格考试首考通过率</t>
  </si>
  <si>
    <r>
      <rPr>
        <sz val="11"/>
        <color theme="1"/>
        <rFont val="微软雅黑"/>
        <charset val="134"/>
      </rPr>
      <t>住院医师规范化培训学员首次通过率</t>
    </r>
  </si>
  <si>
    <r>
      <rPr>
        <sz val="11"/>
        <color theme="1"/>
        <rFont val="微软雅黑"/>
        <charset val="134"/>
      </rPr>
      <t>本科学生护士资格考试通过率</t>
    </r>
  </si>
  <si>
    <r>
      <rPr>
        <sz val="11"/>
        <color theme="1"/>
        <rFont val="微软雅黑"/>
        <charset val="134"/>
      </rPr>
      <t>不低于学校要求水平</t>
    </r>
  </si>
  <si>
    <r>
      <rPr>
        <sz val="11"/>
        <color theme="1"/>
        <rFont val="微软雅黑"/>
        <charset val="134"/>
      </rPr>
      <t>住院医师规范化培训学员结业合格率</t>
    </r>
  </si>
  <si>
    <r>
      <rPr>
        <sz val="11"/>
        <color theme="1"/>
        <rFont val="微软雅黑"/>
        <charset val="134"/>
      </rPr>
      <t>比赛活动</t>
    </r>
  </si>
  <si>
    <r>
      <rPr>
        <sz val="11"/>
        <color theme="1"/>
        <rFont val="微软雅黑"/>
        <charset val="134"/>
      </rPr>
      <t>组织院级教学竞赛</t>
    </r>
  </si>
  <si>
    <r>
      <rPr>
        <sz val="11"/>
        <color theme="1"/>
        <rFont val="微软雅黑"/>
        <charset val="134"/>
      </rPr>
      <t>教师参与校级及以上竞赛</t>
    </r>
  </si>
  <si>
    <r>
      <rPr>
        <sz val="11"/>
        <color theme="1"/>
        <rFont val="微软雅黑"/>
        <charset val="134"/>
      </rPr>
      <t>按实际填写（人次）</t>
    </r>
  </si>
  <si>
    <t>师资队伍分年龄结构情况（二附院）</t>
  </si>
  <si>
    <t>变量</t>
  </si>
  <si>
    <t>总人数</t>
  </si>
  <si>
    <r>
      <rPr>
        <sz val="11"/>
        <color theme="1"/>
        <rFont val="Times New Roman"/>
        <charset val="134"/>
      </rPr>
      <t>29</t>
    </r>
    <r>
      <rPr>
        <sz val="11"/>
        <color theme="1"/>
        <rFont val="微软雅黑"/>
        <charset val="134"/>
      </rPr>
      <t>岁以及下</t>
    </r>
  </si>
  <si>
    <r>
      <rPr>
        <sz val="11"/>
        <color theme="1"/>
        <rFont val="Times New Roman"/>
        <charset val="134"/>
      </rPr>
      <t>30-34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</si>
  <si>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35-39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</si>
  <si>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40-44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</si>
  <si>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45-49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</si>
  <si>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50-54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</si>
  <si>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55-59</t>
    </r>
    <r>
      <rPr>
        <sz val="11"/>
        <color theme="1"/>
        <rFont val="微软雅黑"/>
        <charset val="134"/>
      </rPr>
      <t>岁</t>
    </r>
  </si>
  <si>
    <r>
      <rPr>
        <sz val="11"/>
        <color theme="1"/>
        <rFont val="Times New Roman"/>
        <charset val="134"/>
      </rPr>
      <t>60</t>
    </r>
    <r>
      <rPr>
        <sz val="11"/>
        <color theme="1"/>
        <rFont val="微软雅黑"/>
        <charset val="134"/>
      </rPr>
      <t>岁及以上</t>
    </r>
  </si>
  <si>
    <t>合计</t>
  </si>
  <si>
    <t>学历</t>
  </si>
  <si>
    <t>专科及以下</t>
  </si>
  <si>
    <t>本科</t>
  </si>
  <si>
    <t>硕士</t>
  </si>
  <si>
    <t>博士</t>
  </si>
  <si>
    <t>职称</t>
  </si>
  <si>
    <t>正高级</t>
  </si>
  <si>
    <t>副高级</t>
  </si>
  <si>
    <t>中级</t>
  </si>
  <si>
    <t>初级</t>
  </si>
  <si>
    <t>未定职级</t>
  </si>
  <si>
    <t>学缘结构（是否贵医教育背景）</t>
  </si>
  <si>
    <t>是</t>
  </si>
  <si>
    <t>否</t>
  </si>
  <si>
    <t>5人为神奇学院</t>
  </si>
  <si>
    <t>11人为神奇学院</t>
  </si>
  <si>
    <t>18人为神奇学院</t>
  </si>
  <si>
    <t>无神奇学院</t>
  </si>
  <si>
    <t>1人为神奇学院</t>
  </si>
  <si>
    <t>师资队伍分年龄结构情况（三附院）</t>
  </si>
  <si>
    <t>无学位</t>
  </si>
  <si>
    <t>9人为神奇学院</t>
  </si>
  <si>
    <t>4人为神奇学院</t>
  </si>
  <si>
    <t>师资队伍分年龄结构情况（附属兴义医院）</t>
  </si>
  <si>
    <t>2人为神奇学院</t>
  </si>
  <si>
    <t>师资队伍分年龄结构情况（附属口腔医院）</t>
  </si>
  <si>
    <t>0人为神奇学院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</si>
</sst>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</numFmts>
  <fonts count="45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Times New Roman"/>
      <charset val="134"/>
    </font>
    <font>
      <sz val="9"/>
      <color theme="1"/>
      <name val="微软雅黑"/>
      <charset val="134"/>
    </font>
    <font>
      <b/>
      <sz val="11"/>
      <color theme="1"/>
      <name val="Times New Roman"/>
      <charset val="134"/>
    </font>
    <font>
      <b/>
      <sz val="11"/>
      <color theme="1"/>
      <name val="黑体"/>
      <charset val="134"/>
    </font>
    <font>
      <b/>
      <sz val="11"/>
      <color theme="1"/>
      <name val="宋体"/>
      <charset val="134"/>
    </font>
    <font>
      <sz val="11"/>
      <color rgb="FF000000"/>
      <name val="Times New Roman"/>
      <charset val="134"/>
    </font>
    <font>
      <b/>
      <sz val="11"/>
      <color theme="1"/>
      <name val="微软雅黑"/>
      <charset val="134"/>
    </font>
    <font>
      <sz val="11"/>
      <color theme="1"/>
      <name val="黑体"/>
      <charset val="134"/>
    </font>
    <font>
      <sz val="9"/>
      <color theme="1"/>
      <name val="宋体"/>
      <charset val="134"/>
    </font>
    <font>
      <sz val="11"/>
      <color theme="1"/>
      <name val="宋体"/>
      <charset val="134"/>
    </font>
    <font>
      <sz val="6"/>
      <color theme="1"/>
      <name val="宋体"/>
      <charset val="134"/>
    </font>
    <font>
      <sz val="9"/>
      <color theme="1"/>
      <name val="Times New Roman"/>
      <charset val="134"/>
    </font>
    <font>
      <sz val="20"/>
      <color theme="1"/>
      <name val="Times New Roman"/>
      <charset val="134"/>
    </font>
    <font>
      <sz val="11"/>
      <name val="Times New Roman"/>
      <charset val="134"/>
    </font>
    <font>
      <sz val="11"/>
      <name val="微软雅黑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  <font>
      <sz val="20"/>
      <color theme="1"/>
      <name val="黑体"/>
      <charset val="134"/>
    </font>
    <font>
      <sz val="6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3" applyNumberFormat="0" applyAlignment="0" applyProtection="0">
      <alignment vertical="center"/>
    </xf>
    <xf numFmtId="0" fontId="30" fillId="7" borderId="14" applyNumberFormat="0" applyAlignment="0" applyProtection="0">
      <alignment vertical="center"/>
    </xf>
    <xf numFmtId="0" fontId="31" fillId="7" borderId="13" applyNumberFormat="0" applyAlignment="0" applyProtection="0">
      <alignment vertical="center"/>
    </xf>
    <xf numFmtId="0" fontId="32" fillId="8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17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0" fontId="3" fillId="0" borderId="1" xfId="0" applyNumberFormat="1" applyFont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left" vertical="center" wrapText="1"/>
    </xf>
    <xf numFmtId="10" fontId="3" fillId="0" borderId="1" xfId="0" applyNumberFormat="1" applyFont="1" applyFill="1" applyBorder="1" applyAlignment="1">
      <alignment horizontal="left" vertical="center" wrapText="1"/>
    </xf>
    <xf numFmtId="10" fontId="3" fillId="2" borderId="4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9" fontId="3" fillId="0" borderId="1" xfId="0" applyNumberFormat="1" applyFont="1" applyFill="1" applyBorder="1" applyAlignment="1">
      <alignment horizontal="left" vertical="center" wrapText="1"/>
    </xf>
    <xf numFmtId="9" fontId="3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Border="1">
      <alignment vertical="center"/>
    </xf>
    <xf numFmtId="10" fontId="3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0" fontId="3" fillId="2" borderId="4" xfId="0" applyNumberFormat="1" applyFont="1" applyFill="1" applyBorder="1" applyAlignment="1">
      <alignment horizontal="left" vertical="center" wrapText="1"/>
    </xf>
    <xf numFmtId="9" fontId="4" fillId="0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0" fontId="3" fillId="0" borderId="2" xfId="0" applyNumberFormat="1" applyFont="1" applyBorder="1" applyAlignment="1">
      <alignment horizontal="left" vertical="center" wrapText="1"/>
    </xf>
    <xf numFmtId="10" fontId="3" fillId="2" borderId="2" xfId="0" applyNumberFormat="1" applyFont="1" applyFill="1" applyBorder="1" applyAlignment="1">
      <alignment horizontal="left" vertical="center" wrapText="1"/>
    </xf>
    <xf numFmtId="10" fontId="3" fillId="0" borderId="2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3" xfId="0" applyFont="1" applyFill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6" fontId="8" fillId="0" borderId="5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left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77" fontId="3" fillId="2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2" borderId="3" xfId="0" applyNumberFormat="1" applyFont="1" applyFill="1" applyBorder="1" applyAlignment="1" applyProtection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2" xfId="0" applyNumberFormat="1" applyFont="1" applyFill="1" applyBorder="1" applyAlignment="1" applyProtection="1">
      <alignment horizontal="left" vertical="center" wrapText="1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left" vertical="center" wrapText="1"/>
    </xf>
    <xf numFmtId="178" fontId="3" fillId="3" borderId="1" xfId="0" applyNumberFormat="1" applyFont="1" applyFill="1" applyBorder="1" applyAlignment="1">
      <alignment horizontal="left" vertical="center" wrapText="1"/>
    </xf>
    <xf numFmtId="178" fontId="3" fillId="2" borderId="2" xfId="0" applyNumberFormat="1" applyFont="1" applyFill="1" applyBorder="1" applyAlignment="1">
      <alignment horizontal="left" vertical="center" wrapText="1"/>
    </xf>
    <xf numFmtId="178" fontId="3" fillId="3" borderId="2" xfId="0" applyNumberFormat="1" applyFont="1" applyFill="1" applyBorder="1" applyAlignment="1">
      <alignment horizontal="left" vertical="center" wrapText="1"/>
    </xf>
    <xf numFmtId="178" fontId="3" fillId="0" borderId="2" xfId="0" applyNumberFormat="1" applyFont="1" applyBorder="1" applyAlignment="1">
      <alignment horizontal="left" vertical="center" wrapText="1"/>
    </xf>
    <xf numFmtId="0" fontId="11" fillId="3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10" fontId="3" fillId="2" borderId="1" xfId="0" applyNumberFormat="1" applyFont="1" applyFill="1" applyBorder="1" applyAlignment="1">
      <alignment horizontal="left" vertical="center"/>
    </xf>
    <xf numFmtId="9" fontId="16" fillId="0" borderId="1" xfId="0" applyNumberFormat="1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12" fillId="0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110" zoomScaleNormal="110" workbookViewId="0">
      <selection activeCell="G3" sqref="G3"/>
    </sheetView>
  </sheetViews>
  <sheetFormatPr defaultColWidth="9" defaultRowHeight="15"/>
  <cols>
    <col min="1" max="1" width="18.075" style="3" customWidth="1"/>
    <col min="2" max="2" width="28.3666666666667" style="3" customWidth="1"/>
    <col min="3" max="3" width="20.2833333333333" style="3" customWidth="1"/>
    <col min="4" max="4" width="7.775" style="3" customWidth="1"/>
    <col min="5" max="5" width="8.83333333333333" style="3" customWidth="1"/>
    <col min="6" max="6" width="11.925" style="3" customWidth="1"/>
    <col min="7" max="7" width="9" style="3"/>
    <col min="8" max="8" width="10.2833333333333" style="3" customWidth="1"/>
    <col min="9" max="16384" width="9" style="3"/>
  </cols>
  <sheetData>
    <row r="1" ht="34" customHeight="1" spans="1:9">
      <c r="A1" s="138" t="s">
        <v>0</v>
      </c>
      <c r="B1" s="138"/>
      <c r="C1" s="138"/>
      <c r="D1" s="138"/>
      <c r="E1" s="138"/>
      <c r="F1" s="138"/>
      <c r="G1" s="138"/>
    </row>
    <row r="2" ht="21" customHeight="1" spans="1:9">
      <c r="A2" s="8" t="s">
        <v>1</v>
      </c>
      <c r="B2" s="8"/>
      <c r="C2" s="8"/>
      <c r="D2" s="8"/>
      <c r="E2" s="8"/>
      <c r="F2" s="8"/>
    </row>
    <row r="3" ht="20" customHeight="1" spans="1:9">
      <c r="A3" s="139" t="s">
        <v>2</v>
      </c>
      <c r="B3" s="100" t="s">
        <v>3</v>
      </c>
      <c r="C3" s="100" t="s">
        <v>4</v>
      </c>
      <c r="D3" s="100" t="s">
        <v>5</v>
      </c>
      <c r="E3" s="140" t="s">
        <v>6</v>
      </c>
      <c r="F3" s="141" t="s">
        <v>7</v>
      </c>
      <c r="G3" s="142" t="s">
        <v>8</v>
      </c>
      <c r="H3" s="143" t="s">
        <v>9</v>
      </c>
      <c r="I3" s="103" t="s">
        <v>10</v>
      </c>
    </row>
    <row r="4" ht="33" customHeight="1" spans="1:9">
      <c r="A4" s="144" t="s">
        <v>11</v>
      </c>
      <c r="B4" s="145" t="s">
        <v>12</v>
      </c>
      <c r="C4" s="115" t="s">
        <v>13</v>
      </c>
      <c r="D4" s="146"/>
      <c r="E4" s="147"/>
      <c r="F4" s="148"/>
      <c r="G4" s="21"/>
      <c r="H4" s="147"/>
      <c r="I4" s="149"/>
    </row>
    <row r="5" ht="16.5" spans="1:9">
      <c r="A5" s="150"/>
      <c r="B5" s="145" t="s">
        <v>14</v>
      </c>
      <c r="C5" s="145" t="s">
        <v>15</v>
      </c>
      <c r="D5" s="145"/>
      <c r="E5" s="151"/>
      <c r="F5" s="152"/>
      <c r="G5" s="21"/>
      <c r="H5" s="151"/>
      <c r="I5" s="153"/>
    </row>
    <row r="6" ht="16.5" spans="1:9">
      <c r="A6" s="150"/>
      <c r="B6" s="145" t="s">
        <v>16</v>
      </c>
      <c r="C6" s="145" t="s">
        <v>17</v>
      </c>
      <c r="D6" s="145"/>
      <c r="E6" s="151"/>
      <c r="F6" s="154"/>
      <c r="G6" s="21"/>
      <c r="H6" s="151"/>
      <c r="I6" s="153"/>
    </row>
    <row r="7" ht="16.5" spans="1:9">
      <c r="A7" s="150"/>
      <c r="B7" s="145" t="s">
        <v>18</v>
      </c>
      <c r="C7" s="145" t="s">
        <v>19</v>
      </c>
      <c r="D7" s="145"/>
      <c r="E7" s="151"/>
      <c r="F7" s="154"/>
      <c r="G7" s="21"/>
      <c r="H7" s="151"/>
      <c r="I7" s="153"/>
    </row>
    <row r="8" ht="16.5" spans="1:9">
      <c r="A8" s="150"/>
      <c r="B8" s="146" t="s">
        <v>20</v>
      </c>
      <c r="C8" s="145" t="s">
        <v>19</v>
      </c>
      <c r="D8" s="145"/>
      <c r="E8" s="151"/>
      <c r="F8" s="154"/>
      <c r="G8" s="21"/>
      <c r="H8" s="151"/>
      <c r="I8" s="153"/>
    </row>
    <row r="9" ht="16.5" spans="1:9">
      <c r="A9" s="150"/>
      <c r="B9" s="145" t="s">
        <v>21</v>
      </c>
      <c r="C9" s="145" t="s">
        <v>22</v>
      </c>
      <c r="D9" s="145"/>
      <c r="E9" s="151"/>
      <c r="F9" s="154"/>
      <c r="G9" s="21"/>
      <c r="H9" s="151"/>
      <c r="I9" s="153"/>
    </row>
    <row r="10" ht="16.5" spans="1:9">
      <c r="A10" s="150"/>
      <c r="B10" s="145" t="s">
        <v>23</v>
      </c>
      <c r="C10" s="145" t="s">
        <v>24</v>
      </c>
      <c r="D10" s="145"/>
      <c r="E10" s="151"/>
      <c r="F10" s="154"/>
      <c r="G10" s="21"/>
      <c r="H10" s="151"/>
      <c r="I10" s="153"/>
    </row>
    <row r="11" ht="16.5" spans="1:9">
      <c r="A11" s="150"/>
      <c r="B11" s="145" t="s">
        <v>25</v>
      </c>
      <c r="C11" s="145" t="s">
        <v>24</v>
      </c>
      <c r="D11" s="145"/>
      <c r="E11" s="151"/>
      <c r="F11" s="154"/>
      <c r="G11" s="21"/>
      <c r="H11" s="151"/>
      <c r="I11" s="153"/>
    </row>
    <row r="12" ht="16.5" spans="1:9">
      <c r="A12" s="150"/>
      <c r="B12" s="145" t="s">
        <v>26</v>
      </c>
      <c r="C12" s="145" t="s">
        <v>24</v>
      </c>
      <c r="D12" s="145"/>
      <c r="E12" s="151"/>
      <c r="F12" s="154"/>
      <c r="G12" s="21"/>
      <c r="H12" s="151"/>
      <c r="I12" s="153"/>
    </row>
    <row r="13" ht="16.5" spans="1:9">
      <c r="A13" s="150"/>
      <c r="B13" s="145" t="s">
        <v>27</v>
      </c>
      <c r="C13" s="145" t="s">
        <v>24</v>
      </c>
      <c r="D13" s="145"/>
      <c r="E13" s="151"/>
      <c r="F13" s="154"/>
      <c r="G13" s="21"/>
      <c r="H13" s="151"/>
      <c r="I13" s="155"/>
    </row>
    <row r="14" ht="41" customHeight="1" spans="1:9">
      <c r="A14" s="156" t="s">
        <v>28</v>
      </c>
      <c r="B14" s="115" t="s">
        <v>29</v>
      </c>
      <c r="C14" s="145" t="s">
        <v>30</v>
      </c>
      <c r="D14" s="145"/>
      <c r="E14" s="151"/>
      <c r="F14" s="154"/>
      <c r="G14" s="21"/>
      <c r="H14" s="151"/>
      <c r="I14" s="153"/>
    </row>
    <row r="15" ht="33" spans="1:9">
      <c r="A15" s="157"/>
      <c r="B15" s="21" t="s">
        <v>31</v>
      </c>
      <c r="C15" s="145" t="s">
        <v>32</v>
      </c>
      <c r="D15" s="145"/>
      <c r="E15" s="151"/>
      <c r="F15" s="154"/>
      <c r="G15" s="21"/>
      <c r="H15" s="151"/>
      <c r="I15" s="153"/>
    </row>
    <row r="16" ht="38" customHeight="1" spans="1:9">
      <c r="A16" s="22" t="s">
        <v>33</v>
      </c>
      <c r="B16" s="22" t="s">
        <v>34</v>
      </c>
      <c r="C16" s="158" t="s">
        <v>35</v>
      </c>
      <c r="D16" s="158"/>
      <c r="E16" s="83"/>
      <c r="F16" s="159"/>
      <c r="G16" s="22"/>
      <c r="H16" s="83"/>
      <c r="I16" s="160"/>
    </row>
    <row r="17" spans="1:10">
      <c r="A17" s="161"/>
      <c r="B17" s="161"/>
      <c r="C17" s="161"/>
      <c r="D17" s="161"/>
      <c r="E17" s="122"/>
      <c r="F17" s="123"/>
      <c r="G17" s="36"/>
      <c r="H17" s="122"/>
      <c r="I17" s="162"/>
    </row>
    <row r="18" ht="19" customHeight="1" spans="1:10">
      <c r="A18" s="161" t="s">
        <v>36</v>
      </c>
      <c r="B18" s="161"/>
      <c r="C18" s="161"/>
      <c r="D18" s="161"/>
      <c r="E18" s="122"/>
      <c r="F18" s="163"/>
      <c r="H18" s="122"/>
      <c r="I18" s="162"/>
    </row>
    <row r="19" ht="16.5" spans="1:10">
      <c r="A19" s="144" t="s">
        <v>37</v>
      </c>
      <c r="B19" s="146" t="s">
        <v>38</v>
      </c>
      <c r="C19" s="145" t="s">
        <v>39</v>
      </c>
      <c r="D19" s="146"/>
      <c r="E19" s="151"/>
      <c r="F19" s="146"/>
      <c r="G19" s="145"/>
      <c r="H19" s="151"/>
      <c r="I19" s="164"/>
    </row>
    <row r="20" ht="33" spans="1:10">
      <c r="A20" s="150"/>
      <c r="B20" s="115" t="s">
        <v>40</v>
      </c>
      <c r="C20" s="145" t="s">
        <v>41</v>
      </c>
      <c r="D20" s="145"/>
      <c r="E20" s="151"/>
      <c r="F20" s="154"/>
      <c r="G20" s="145"/>
      <c r="H20" s="151"/>
      <c r="I20" s="153"/>
    </row>
    <row r="21" ht="32" customHeight="1" spans="1:10">
      <c r="A21" s="150"/>
      <c r="B21" s="115" t="s">
        <v>42</v>
      </c>
      <c r="C21" s="145" t="s">
        <v>43</v>
      </c>
      <c r="D21" s="145"/>
      <c r="E21" s="151"/>
      <c r="F21" s="154"/>
      <c r="G21" s="145"/>
      <c r="H21" s="165"/>
      <c r="I21" s="166"/>
    </row>
    <row r="22" ht="16.5" spans="1:10">
      <c r="A22" s="150"/>
      <c r="B22" s="115" t="s">
        <v>44</v>
      </c>
      <c r="C22" s="145" t="s">
        <v>39</v>
      </c>
      <c r="D22" s="145"/>
      <c r="E22" s="151"/>
      <c r="F22" s="146"/>
      <c r="G22" s="145"/>
      <c r="H22" s="151"/>
      <c r="I22" s="167"/>
    </row>
    <row r="23" ht="16.5" spans="1:10">
      <c r="A23" s="150"/>
      <c r="B23" s="115" t="s">
        <v>45</v>
      </c>
      <c r="C23" s="145" t="s">
        <v>39</v>
      </c>
      <c r="D23" s="146"/>
      <c r="E23" s="151"/>
      <c r="F23" s="146"/>
      <c r="G23" s="145"/>
      <c r="H23" s="168"/>
      <c r="I23" s="169"/>
    </row>
    <row r="24" ht="16.5" spans="1:10">
      <c r="A24" s="150"/>
      <c r="B24" s="115" t="s">
        <v>46</v>
      </c>
      <c r="C24" s="145" t="s">
        <v>47</v>
      </c>
      <c r="D24" s="145"/>
      <c r="E24" s="151"/>
      <c r="F24" s="154"/>
      <c r="G24" s="145"/>
      <c r="H24" s="151"/>
      <c r="I24" s="166"/>
    </row>
    <row r="25" ht="19" customHeight="1" spans="1:10">
      <c r="A25" s="144" t="s">
        <v>48</v>
      </c>
      <c r="B25" s="115" t="s">
        <v>49</v>
      </c>
      <c r="C25" s="145" t="s">
        <v>39</v>
      </c>
      <c r="D25" s="145"/>
      <c r="E25" s="151"/>
      <c r="F25" s="146"/>
      <c r="G25" s="145"/>
      <c r="H25" s="168"/>
      <c r="I25" s="155"/>
      <c r="J25" s="170"/>
    </row>
    <row r="26" ht="16.5" spans="1:10">
      <c r="A26" s="150"/>
      <c r="B26" s="115" t="s">
        <v>50</v>
      </c>
      <c r="C26" s="145" t="s">
        <v>51</v>
      </c>
      <c r="D26" s="145"/>
      <c r="E26" s="151"/>
      <c r="F26" s="154"/>
      <c r="G26" s="145"/>
      <c r="H26" s="151"/>
      <c r="I26" s="155"/>
    </row>
    <row r="27" ht="16.5" spans="1:10">
      <c r="A27" s="150"/>
      <c r="B27" s="115" t="s">
        <v>50</v>
      </c>
      <c r="C27" s="145" t="s">
        <v>52</v>
      </c>
      <c r="D27" s="145"/>
      <c r="E27" s="151"/>
      <c r="F27" s="154"/>
      <c r="G27" s="145"/>
      <c r="H27" s="151"/>
      <c r="I27" s="155"/>
    </row>
    <row r="28" ht="19" customHeight="1" spans="1:10">
      <c r="A28" s="144" t="s">
        <v>53</v>
      </c>
      <c r="B28" s="115" t="s">
        <v>54</v>
      </c>
      <c r="C28" s="145" t="s">
        <v>55</v>
      </c>
      <c r="D28" s="145"/>
      <c r="E28" s="151"/>
      <c r="F28" s="146"/>
      <c r="G28" s="145"/>
      <c r="H28" s="168"/>
      <c r="I28" s="155"/>
    </row>
    <row r="29" ht="16.5" spans="1:10">
      <c r="A29" s="150"/>
      <c r="B29" s="145" t="s">
        <v>56</v>
      </c>
      <c r="C29" s="145" t="s">
        <v>57</v>
      </c>
      <c r="D29" s="145"/>
      <c r="E29" s="151"/>
      <c r="F29" s="154"/>
      <c r="G29" s="145"/>
      <c r="H29" s="151"/>
      <c r="I29" s="171"/>
    </row>
    <row r="30" ht="16.5" spans="1:10">
      <c r="A30" s="150"/>
      <c r="B30" s="145" t="s">
        <v>58</v>
      </c>
      <c r="C30" s="145" t="s">
        <v>52</v>
      </c>
      <c r="D30" s="145"/>
      <c r="E30" s="172"/>
      <c r="F30" s="154"/>
      <c r="G30" s="145"/>
      <c r="H30" s="151"/>
      <c r="I30" s="171"/>
    </row>
    <row r="31" ht="16.5" spans="1:10">
      <c r="A31" s="144" t="s">
        <v>59</v>
      </c>
      <c r="B31" s="145" t="s">
        <v>60</v>
      </c>
      <c r="C31" s="145" t="s">
        <v>17</v>
      </c>
      <c r="D31" s="145"/>
      <c r="E31" s="151"/>
      <c r="F31" s="154"/>
      <c r="G31" s="145"/>
      <c r="H31" s="151"/>
      <c r="I31" s="173"/>
    </row>
    <row r="32" ht="16.5" spans="1:10">
      <c r="A32" s="150"/>
      <c r="B32" s="145" t="s">
        <v>61</v>
      </c>
      <c r="C32" s="145" t="s">
        <v>55</v>
      </c>
      <c r="D32" s="146"/>
      <c r="E32" s="147"/>
      <c r="F32" s="174"/>
      <c r="G32" s="145"/>
      <c r="H32" s="151"/>
      <c r="I32" s="149"/>
    </row>
    <row r="33" ht="16.5" spans="1:9">
      <c r="A33" s="150"/>
      <c r="B33" s="145" t="s">
        <v>62</v>
      </c>
      <c r="C33" s="145" t="s">
        <v>55</v>
      </c>
      <c r="D33" s="145"/>
      <c r="E33" s="151"/>
      <c r="F33" s="174"/>
      <c r="G33" s="145"/>
      <c r="H33" s="151"/>
      <c r="I33" s="149"/>
    </row>
    <row r="34" ht="16.5" spans="1:9">
      <c r="A34" s="150"/>
      <c r="B34" s="145" t="s">
        <v>63</v>
      </c>
      <c r="C34" s="145" t="s">
        <v>55</v>
      </c>
      <c r="D34" s="145"/>
      <c r="E34" s="151"/>
      <c r="F34" s="174"/>
      <c r="G34" s="145"/>
      <c r="H34" s="151"/>
      <c r="I34" s="149"/>
    </row>
    <row r="35" ht="16.5" spans="1:9">
      <c r="A35" s="150"/>
      <c r="B35" s="145" t="s">
        <v>64</v>
      </c>
      <c r="C35" s="145" t="s">
        <v>55</v>
      </c>
      <c r="D35" s="145"/>
      <c r="E35" s="151"/>
      <c r="F35" s="174"/>
      <c r="G35" s="145"/>
      <c r="H35" s="151"/>
      <c r="I35" s="149"/>
    </row>
    <row r="36" ht="16.5" spans="1:9">
      <c r="A36" s="150"/>
      <c r="B36" s="145" t="s">
        <v>65</v>
      </c>
      <c r="C36" s="145" t="s">
        <v>55</v>
      </c>
      <c r="D36" s="145"/>
      <c r="E36" s="151"/>
      <c r="F36" s="174"/>
      <c r="G36" s="145"/>
      <c r="H36" s="151"/>
      <c r="I36" s="149"/>
    </row>
    <row r="37" ht="16.5" spans="1:9">
      <c r="A37" s="150"/>
      <c r="B37" s="145" t="s">
        <v>66</v>
      </c>
      <c r="C37" s="145" t="s">
        <v>55</v>
      </c>
      <c r="D37" s="145"/>
      <c r="E37" s="151"/>
      <c r="F37" s="174"/>
      <c r="G37" s="145"/>
      <c r="H37" s="151"/>
      <c r="I37" s="149"/>
    </row>
    <row r="38" ht="16.5" spans="1:9">
      <c r="A38" s="150"/>
      <c r="B38" s="146" t="s">
        <v>67</v>
      </c>
      <c r="C38" s="145" t="s">
        <v>17</v>
      </c>
      <c r="D38" s="145"/>
      <c r="E38" s="151"/>
      <c r="F38" s="154"/>
      <c r="G38" s="145"/>
      <c r="H38" s="151"/>
      <c r="I38" s="149"/>
    </row>
    <row r="39" ht="16.5" spans="1:9">
      <c r="A39" s="158" t="s">
        <v>68</v>
      </c>
      <c r="B39" s="158" t="s">
        <v>69</v>
      </c>
      <c r="C39" s="158" t="s">
        <v>39</v>
      </c>
      <c r="D39" s="148"/>
      <c r="E39" s="83"/>
      <c r="F39" s="148"/>
      <c r="G39" s="158"/>
      <c r="H39" s="83"/>
      <c r="I39" s="175"/>
    </row>
    <row r="41" spans="1:9">
      <c r="F41" s="176"/>
    </row>
    <row r="42" spans="1:9">
      <c r="F42" s="176"/>
    </row>
    <row r="43" spans="1:9">
      <c r="F43" s="176"/>
    </row>
    <row r="44" spans="1:9">
      <c r="F44" s="176"/>
    </row>
    <row r="45" spans="1:9">
      <c r="F45" s="176"/>
    </row>
  </sheetData>
  <mergeCells count="9">
    <mergeCell ref="A1:G1"/>
    <mergeCell ref="A2:E2"/>
    <mergeCell ref="A4:A13"/>
    <mergeCell ref="A14:A15"/>
    <mergeCell ref="A19:A24"/>
    <mergeCell ref="A25:A27"/>
    <mergeCell ref="A28:A30"/>
    <mergeCell ref="A31:A38"/>
    <mergeCell ref="F41:F45"/>
  </mergeCells>
  <dataValidations count="1">
    <dataValidation allowBlank="1" showInputMessage="1" showErrorMessage="1" sqref="F5"/>
  </dataValidations>
  <pageMargins left="0.75" right="0.75" top="1" bottom="1" header="0.5" footer="0.5"/>
  <headerFooter/>
  <ignoredErrors>
    <ignoredError sqref="C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topLeftCell="A34" workbookViewId="0">
      <selection activeCell="I53" sqref="I53"/>
    </sheetView>
  </sheetViews>
  <sheetFormatPr defaultColWidth="9" defaultRowHeight="15"/>
  <cols>
    <col min="1" max="1" width="13.5" style="3" customWidth="1"/>
    <col min="2" max="2" width="34.625" style="3" customWidth="1"/>
    <col min="3" max="3" width="17.625" style="3" customWidth="1"/>
    <col min="4" max="4" width="10.725" style="3" customWidth="1"/>
    <col min="5" max="5" width="8.33333333333333" style="3" customWidth="1"/>
    <col min="6" max="6" width="13.25" style="96" customWidth="1"/>
    <col min="7" max="7" width="9" style="97"/>
    <col min="8" max="8" width="11.75" style="3" customWidth="1"/>
    <col min="9" max="9" width="11.125" style="3"/>
    <col min="10" max="16384" width="9" style="3"/>
  </cols>
  <sheetData>
    <row r="1" ht="25" customHeight="1" spans="1:10">
      <c r="A1" s="8" t="s">
        <v>70</v>
      </c>
      <c r="B1" s="8"/>
      <c r="C1" s="8"/>
      <c r="D1" s="8"/>
      <c r="E1" s="8"/>
      <c r="F1" s="98"/>
    </row>
    <row r="2" ht="24" customHeight="1" spans="1:10">
      <c r="A2" s="99" t="s">
        <v>2</v>
      </c>
      <c r="B2" s="100" t="s">
        <v>3</v>
      </c>
      <c r="C2" s="100" t="s">
        <v>4</v>
      </c>
      <c r="D2" s="100" t="s">
        <v>5</v>
      </c>
      <c r="E2" s="12" t="s">
        <v>71</v>
      </c>
      <c r="F2" s="101" t="s">
        <v>7</v>
      </c>
      <c r="G2" s="102" t="s">
        <v>8</v>
      </c>
      <c r="H2" s="102" t="s">
        <v>9</v>
      </c>
      <c r="I2" s="103" t="s">
        <v>10</v>
      </c>
    </row>
    <row r="3" ht="21" customHeight="1" spans="1:10">
      <c r="A3" s="21" t="s">
        <v>72</v>
      </c>
      <c r="B3" s="22" t="s">
        <v>73</v>
      </c>
      <c r="C3" s="23" t="s">
        <v>74</v>
      </c>
      <c r="D3" s="21"/>
      <c r="E3" s="32"/>
      <c r="F3" s="104"/>
      <c r="G3" s="22"/>
      <c r="H3" s="22"/>
      <c r="I3" s="32"/>
      <c r="J3" s="105" t="s">
        <v>75</v>
      </c>
    </row>
    <row r="4" ht="22" customHeight="1" spans="1:10">
      <c r="A4" s="62"/>
      <c r="B4" s="22" t="s">
        <v>76</v>
      </c>
      <c r="C4" s="21" t="s">
        <v>77</v>
      </c>
      <c r="D4" s="21"/>
      <c r="E4" s="32"/>
      <c r="F4" s="104"/>
      <c r="G4" s="22"/>
      <c r="H4" s="22"/>
      <c r="I4" s="32"/>
    </row>
    <row r="5" ht="22" customHeight="1" spans="1:10">
      <c r="B5" s="22" t="s">
        <v>78</v>
      </c>
      <c r="C5" s="21" t="s">
        <v>79</v>
      </c>
      <c r="D5" s="21"/>
      <c r="E5" s="32"/>
      <c r="F5" s="104"/>
      <c r="G5" s="22"/>
      <c r="H5" s="22"/>
      <c r="I5" s="32"/>
      <c r="J5" s="106"/>
    </row>
    <row r="6" ht="22" customHeight="1" spans="1:10">
      <c r="B6" s="22" t="s">
        <v>80</v>
      </c>
      <c r="C6" s="21" t="s">
        <v>79</v>
      </c>
      <c r="D6" s="21"/>
      <c r="E6" s="32"/>
      <c r="F6" s="104"/>
      <c r="G6" s="22"/>
      <c r="H6" s="22"/>
      <c r="I6" s="32"/>
    </row>
    <row r="7" ht="22" customHeight="1" spans="1:10">
      <c r="B7" s="22" t="s">
        <v>81</v>
      </c>
      <c r="C7" s="21" t="s">
        <v>82</v>
      </c>
      <c r="D7" s="21"/>
      <c r="E7" s="32"/>
      <c r="F7" s="104"/>
      <c r="G7" s="22"/>
      <c r="H7" s="22"/>
      <c r="I7" s="32"/>
      <c r="J7" s="106"/>
    </row>
    <row r="8" ht="22" customHeight="1" spans="1:10">
      <c r="B8" s="22" t="s">
        <v>83</v>
      </c>
      <c r="C8" s="21" t="s">
        <v>79</v>
      </c>
      <c r="D8" s="21"/>
      <c r="E8" s="32"/>
      <c r="F8" s="104"/>
      <c r="G8" s="22"/>
      <c r="H8" s="22"/>
      <c r="I8" s="32"/>
    </row>
    <row r="9" ht="22" customHeight="1" spans="1:10">
      <c r="B9" s="22" t="s">
        <v>84</v>
      </c>
      <c r="C9" s="38" t="s">
        <v>85</v>
      </c>
      <c r="D9" s="22"/>
      <c r="E9" s="61"/>
      <c r="F9" s="104"/>
      <c r="G9" s="22"/>
      <c r="H9" s="22"/>
      <c r="I9" s="61"/>
    </row>
    <row r="10" ht="22" customHeight="1" spans="1:10">
      <c r="B10" s="22" t="s">
        <v>86</v>
      </c>
      <c r="C10" s="22" t="s">
        <v>87</v>
      </c>
      <c r="D10" s="22"/>
      <c r="E10" s="61"/>
      <c r="F10" s="104"/>
      <c r="G10" s="22"/>
      <c r="H10" s="22"/>
      <c r="I10" s="61"/>
    </row>
    <row r="11" ht="22" customHeight="1" spans="1:10">
      <c r="A11" s="21" t="s">
        <v>88</v>
      </c>
      <c r="B11" s="22" t="s">
        <v>89</v>
      </c>
      <c r="C11" s="22" t="s">
        <v>87</v>
      </c>
      <c r="D11" s="22"/>
      <c r="E11" s="107"/>
      <c r="F11" s="104"/>
      <c r="G11" s="22"/>
      <c r="H11" s="22"/>
      <c r="I11" s="32"/>
    </row>
    <row r="12" ht="22" customHeight="1" spans="1:10">
      <c r="A12" s="36"/>
      <c r="B12" s="22" t="s">
        <v>90</v>
      </c>
      <c r="C12" s="22" t="s">
        <v>91</v>
      </c>
      <c r="D12" s="22"/>
      <c r="E12" s="61"/>
      <c r="F12" s="104"/>
      <c r="G12" s="22"/>
      <c r="H12" s="22"/>
      <c r="I12" s="32"/>
    </row>
    <row r="13" ht="22" customHeight="1" spans="1:10">
      <c r="A13" s="21" t="s">
        <v>92</v>
      </c>
      <c r="B13" s="22" t="s">
        <v>93</v>
      </c>
      <c r="C13" s="21" t="s">
        <v>94</v>
      </c>
      <c r="D13" s="22"/>
      <c r="E13" s="61"/>
      <c r="F13" s="104"/>
      <c r="G13" s="22"/>
      <c r="H13" s="22"/>
      <c r="I13" s="32"/>
    </row>
    <row r="14" ht="22" customHeight="1" spans="1:10">
      <c r="A14" s="36"/>
      <c r="B14" s="22" t="s">
        <v>95</v>
      </c>
      <c r="C14" s="21" t="s">
        <v>55</v>
      </c>
      <c r="D14" s="21"/>
      <c r="E14" s="108"/>
      <c r="F14" s="104"/>
      <c r="G14" s="22"/>
      <c r="H14" s="22"/>
      <c r="I14" s="32"/>
    </row>
    <row r="15" ht="22" customHeight="1" spans="1:10">
      <c r="A15" s="50"/>
      <c r="B15" s="22" t="s">
        <v>96</v>
      </c>
      <c r="C15" s="22" t="s">
        <v>55</v>
      </c>
      <c r="D15" s="22"/>
      <c r="E15" s="107"/>
      <c r="F15" s="109"/>
      <c r="G15" s="22"/>
      <c r="H15" s="22"/>
      <c r="I15" s="32"/>
    </row>
    <row r="16" spans="1:10">
      <c r="G16" s="21"/>
      <c r="H16" s="21"/>
      <c r="I16" s="33"/>
    </row>
    <row r="17" ht="18" customHeight="1" spans="1:9">
      <c r="A17" s="8" t="s">
        <v>97</v>
      </c>
      <c r="B17" s="8"/>
      <c r="C17" s="8"/>
      <c r="D17" s="8"/>
      <c r="E17" s="8"/>
      <c r="F17" s="98"/>
      <c r="G17" s="41"/>
      <c r="H17" s="28"/>
      <c r="I17" s="110"/>
    </row>
    <row r="18" ht="21" customHeight="1" spans="1:9">
      <c r="A18" s="21" t="s">
        <v>98</v>
      </c>
      <c r="B18" s="22" t="s">
        <v>99</v>
      </c>
      <c r="C18" s="22" t="s">
        <v>100</v>
      </c>
      <c r="D18" s="22"/>
      <c r="E18" s="111"/>
      <c r="F18" s="22"/>
      <c r="G18" s="41"/>
      <c r="H18" s="22"/>
      <c r="I18" s="66"/>
    </row>
    <row r="19" ht="21" customHeight="1" spans="1:9">
      <c r="A19" s="36"/>
      <c r="B19" s="21" t="s">
        <v>101</v>
      </c>
      <c r="C19" s="21" t="s">
        <v>100</v>
      </c>
      <c r="D19" s="21"/>
      <c r="E19" s="112"/>
      <c r="F19" s="22"/>
      <c r="G19" s="22"/>
      <c r="H19" s="22"/>
      <c r="I19" s="33"/>
    </row>
    <row r="20" ht="21" customHeight="1" spans="1:9">
      <c r="B20" s="21" t="s">
        <v>102</v>
      </c>
      <c r="C20" s="21" t="s">
        <v>24</v>
      </c>
      <c r="D20" s="21"/>
      <c r="E20" s="32"/>
      <c r="F20" s="104"/>
      <c r="G20" s="22"/>
      <c r="H20" s="22"/>
      <c r="I20" s="33"/>
    </row>
    <row r="21" ht="21" customHeight="1" spans="1:9">
      <c r="B21" s="21" t="s">
        <v>103</v>
      </c>
      <c r="C21" s="30">
        <v>1</v>
      </c>
      <c r="D21" s="24"/>
      <c r="E21" s="32"/>
      <c r="F21" s="113"/>
      <c r="G21" s="42"/>
      <c r="H21" s="114"/>
      <c r="I21" s="26"/>
    </row>
    <row r="22" ht="21" customHeight="1" spans="1:9">
      <c r="B22" s="21" t="s">
        <v>104</v>
      </c>
      <c r="C22" s="30" t="s">
        <v>105</v>
      </c>
      <c r="D22" s="24"/>
      <c r="E22" s="25"/>
      <c r="F22" s="113"/>
      <c r="G22" s="42"/>
      <c r="H22" s="42"/>
      <c r="I22" s="26"/>
    </row>
    <row r="23" ht="21" customHeight="1" spans="1:9">
      <c r="B23" s="115" t="s">
        <v>106</v>
      </c>
      <c r="C23" s="30" t="s">
        <v>107</v>
      </c>
      <c r="D23" s="24"/>
      <c r="E23" s="25"/>
      <c r="F23" s="113"/>
      <c r="G23" s="42"/>
      <c r="H23" s="42"/>
      <c r="I23" s="44"/>
    </row>
    <row r="24" ht="21" customHeight="1" spans="1:9">
      <c r="B24" s="21" t="s">
        <v>108</v>
      </c>
      <c r="C24" s="30" t="s">
        <v>109</v>
      </c>
      <c r="D24" s="21"/>
      <c r="E24" s="32"/>
      <c r="F24" s="104"/>
      <c r="G24" s="22"/>
      <c r="H24" s="22"/>
    </row>
    <row r="25" ht="21" customHeight="1" spans="1:9">
      <c r="B25" s="115" t="s">
        <v>110</v>
      </c>
      <c r="C25" s="30" t="s">
        <v>43</v>
      </c>
      <c r="D25" s="24"/>
      <c r="E25" s="25"/>
      <c r="F25" s="113"/>
      <c r="G25" s="42"/>
      <c r="H25" s="42"/>
      <c r="I25" s="26"/>
    </row>
    <row r="26" ht="21" customHeight="1" spans="1:9">
      <c r="B26" s="115" t="s">
        <v>111</v>
      </c>
      <c r="C26" s="30"/>
      <c r="D26" s="24"/>
      <c r="E26" s="25"/>
      <c r="F26" s="113"/>
      <c r="G26" s="42"/>
      <c r="H26" s="42"/>
      <c r="I26" s="44"/>
    </row>
    <row r="27" ht="22" customHeight="1" spans="1:9">
      <c r="B27" s="116" t="s">
        <v>112</v>
      </c>
      <c r="C27" s="117" t="s">
        <v>113</v>
      </c>
      <c r="D27" s="21"/>
      <c r="E27" s="32"/>
      <c r="F27" s="104"/>
      <c r="G27" s="22"/>
      <c r="H27" s="22"/>
      <c r="I27" s="50"/>
    </row>
    <row r="28" ht="21" customHeight="1" spans="1:9">
      <c r="B28" s="21" t="s">
        <v>114</v>
      </c>
      <c r="C28" s="30" t="s">
        <v>115</v>
      </c>
      <c r="D28" s="24"/>
      <c r="E28" s="25"/>
      <c r="F28" s="113"/>
      <c r="G28" s="42"/>
      <c r="H28" s="42"/>
      <c r="I28" s="50"/>
    </row>
    <row r="29" ht="35" customHeight="1" spans="1:9">
      <c r="A29" s="62"/>
      <c r="B29" s="115" t="s">
        <v>116</v>
      </c>
      <c r="C29" s="115" t="s">
        <v>117</v>
      </c>
      <c r="D29" s="42"/>
      <c r="E29" s="118"/>
      <c r="F29" s="119"/>
      <c r="G29" s="91"/>
      <c r="H29" s="42"/>
      <c r="I29" s="33"/>
    </row>
    <row r="30" ht="35" customHeight="1" spans="1:9">
      <c r="A30" s="21" t="s">
        <v>118</v>
      </c>
      <c r="B30" s="38" t="s">
        <v>119</v>
      </c>
      <c r="C30" s="22" t="s">
        <v>30</v>
      </c>
      <c r="D30" s="41"/>
      <c r="E30" s="120"/>
      <c r="F30" s="121"/>
      <c r="G30" s="41"/>
      <c r="H30" s="22"/>
      <c r="I30" s="66"/>
    </row>
    <row r="31" ht="23" customHeight="1" spans="1:9">
      <c r="A31" s="36"/>
      <c r="B31" s="21" t="s">
        <v>120</v>
      </c>
      <c r="C31" s="22" t="s">
        <v>121</v>
      </c>
      <c r="D31" s="21"/>
      <c r="E31" s="122"/>
      <c r="F31" s="123"/>
      <c r="G31" s="22"/>
      <c r="H31" s="22"/>
      <c r="I31" s="33"/>
    </row>
    <row r="32" ht="23" customHeight="1" spans="1:9">
      <c r="A32" s="28"/>
      <c r="B32" s="21" t="s">
        <v>122</v>
      </c>
      <c r="C32" s="22" t="s">
        <v>123</v>
      </c>
      <c r="D32" s="21"/>
      <c r="E32" s="61"/>
      <c r="F32" s="109"/>
      <c r="G32" s="22"/>
      <c r="H32" s="22"/>
      <c r="I32" s="33"/>
    </row>
    <row r="33" ht="23" customHeight="1" spans="1:9">
      <c r="A33" s="22" t="s">
        <v>124</v>
      </c>
      <c r="B33" s="22" t="s">
        <v>125</v>
      </c>
      <c r="C33" s="22" t="s">
        <v>126</v>
      </c>
      <c r="D33" s="22"/>
      <c r="E33" s="61"/>
      <c r="F33" s="109"/>
      <c r="G33" s="22"/>
      <c r="H33" s="22"/>
      <c r="I33" s="66"/>
    </row>
    <row r="34" ht="18" customHeight="1" spans="1:9">
      <c r="A34" s="62"/>
      <c r="B34" s="62"/>
      <c r="C34" s="62"/>
      <c r="D34" s="62"/>
      <c r="E34" s="62"/>
      <c r="F34" s="124"/>
      <c r="G34" s="125"/>
      <c r="H34" s="126" t="s">
        <v>127</v>
      </c>
    </row>
    <row r="35" ht="16.5" spans="1:9">
      <c r="H35" s="127"/>
    </row>
    <row r="36" ht="21" customHeight="1" spans="1:9">
      <c r="A36" s="8" t="s">
        <v>128</v>
      </c>
      <c r="B36" s="8"/>
      <c r="C36" s="8"/>
      <c r="D36" s="8"/>
      <c r="E36" s="8"/>
      <c r="F36" s="98"/>
    </row>
    <row r="37" ht="19" customHeight="1" spans="1:9">
      <c r="A37" s="21" t="s">
        <v>129</v>
      </c>
      <c r="B37" s="22" t="s">
        <v>130</v>
      </c>
      <c r="C37" s="22" t="s">
        <v>131</v>
      </c>
      <c r="D37" s="22"/>
      <c r="E37" s="61"/>
      <c r="F37" s="109"/>
      <c r="G37" s="22"/>
      <c r="H37" s="128"/>
      <c r="I37" s="129"/>
    </row>
    <row r="38" ht="19" customHeight="1" spans="1:9">
      <c r="A38" s="36"/>
      <c r="B38" s="21" t="s">
        <v>132</v>
      </c>
      <c r="C38" s="22" t="s">
        <v>131</v>
      </c>
      <c r="D38" s="22"/>
      <c r="E38" s="32"/>
      <c r="F38" s="104"/>
      <c r="G38" s="22"/>
      <c r="H38" s="128"/>
      <c r="I38" s="129"/>
    </row>
    <row r="39" ht="19" customHeight="1" spans="1:9">
      <c r="A39" s="28"/>
      <c r="B39" s="21" t="s">
        <v>133</v>
      </c>
      <c r="C39" s="22" t="s">
        <v>134</v>
      </c>
      <c r="D39" s="22"/>
      <c r="E39" s="32"/>
      <c r="F39" s="104"/>
      <c r="G39" s="22"/>
      <c r="H39" s="128"/>
      <c r="I39" s="129"/>
    </row>
    <row r="40" ht="19" customHeight="1" spans="1:9">
      <c r="A40" s="28"/>
      <c r="B40" s="22" t="s">
        <v>135</v>
      </c>
      <c r="C40" s="22" t="s">
        <v>131</v>
      </c>
      <c r="D40" s="22"/>
      <c r="E40" s="61"/>
      <c r="F40" s="109"/>
      <c r="G40" s="22"/>
      <c r="H40" s="128"/>
      <c r="I40" s="129"/>
    </row>
    <row r="41" ht="19" customHeight="1" spans="1:9">
      <c r="A41" s="36"/>
      <c r="B41" s="21" t="s">
        <v>132</v>
      </c>
      <c r="C41" s="22" t="s">
        <v>131</v>
      </c>
      <c r="D41" s="22"/>
      <c r="E41" s="32"/>
      <c r="F41" s="104"/>
      <c r="G41" s="22"/>
      <c r="H41" s="128"/>
      <c r="I41" s="129"/>
    </row>
    <row r="42" ht="19" customHeight="1" spans="1:9">
      <c r="A42" s="28"/>
      <c r="B42" s="21" t="s">
        <v>133</v>
      </c>
      <c r="C42" s="22" t="s">
        <v>134</v>
      </c>
      <c r="D42" s="22"/>
      <c r="E42" s="130"/>
      <c r="F42" s="131"/>
      <c r="G42" s="22"/>
      <c r="H42" s="128"/>
      <c r="I42" s="129"/>
    </row>
    <row r="43" ht="19" customHeight="1" spans="1:9">
      <c r="A43" s="28"/>
      <c r="B43" s="22" t="s">
        <v>136</v>
      </c>
      <c r="C43" s="22" t="s">
        <v>131</v>
      </c>
      <c r="D43" s="22"/>
      <c r="E43" s="61"/>
      <c r="F43" s="109"/>
      <c r="G43" s="22"/>
      <c r="H43" s="128"/>
      <c r="I43" s="129"/>
    </row>
    <row r="44" ht="19" customHeight="1" spans="1:9">
      <c r="A44" s="36"/>
      <c r="B44" s="21" t="s">
        <v>132</v>
      </c>
      <c r="C44" s="22" t="s">
        <v>131</v>
      </c>
      <c r="D44" s="22"/>
      <c r="E44" s="32"/>
      <c r="F44" s="131"/>
      <c r="G44" s="22"/>
      <c r="H44" s="128"/>
      <c r="I44" s="129"/>
    </row>
    <row r="45" ht="19" customHeight="1" spans="1:9">
      <c r="A45" s="28"/>
      <c r="B45" s="22" t="s">
        <v>133</v>
      </c>
      <c r="C45" s="22" t="s">
        <v>134</v>
      </c>
      <c r="D45" s="22"/>
      <c r="E45" s="132"/>
      <c r="F45" s="133"/>
      <c r="G45" s="134"/>
      <c r="H45" s="128"/>
      <c r="I45" s="66"/>
    </row>
    <row r="46" ht="19" customHeight="1" spans="1:9">
      <c r="A46" s="21" t="s">
        <v>137</v>
      </c>
      <c r="B46" s="21" t="s">
        <v>132</v>
      </c>
      <c r="C46" s="22" t="s">
        <v>131</v>
      </c>
      <c r="D46" s="21"/>
      <c r="E46" s="32"/>
      <c r="F46" s="104"/>
      <c r="G46" s="22"/>
      <c r="H46" s="128"/>
      <c r="I46" s="33"/>
    </row>
    <row r="47" ht="19" customHeight="1" spans="1:9">
      <c r="A47" s="36"/>
      <c r="B47" s="22" t="s">
        <v>138</v>
      </c>
      <c r="C47" s="22" t="s">
        <v>131</v>
      </c>
      <c r="D47" s="22"/>
      <c r="E47" s="61"/>
      <c r="F47" s="109"/>
      <c r="G47" s="22"/>
      <c r="H47" s="128"/>
      <c r="I47" s="66"/>
    </row>
    <row r="48" ht="19" customHeight="1" spans="1:9">
      <c r="B48" s="21" t="s">
        <v>139</v>
      </c>
      <c r="C48" s="22" t="s">
        <v>131</v>
      </c>
      <c r="D48" s="21"/>
      <c r="E48" s="32"/>
      <c r="F48" s="104"/>
      <c r="G48" s="22"/>
      <c r="H48" s="128"/>
      <c r="I48" s="33"/>
    </row>
    <row r="49" ht="19" customHeight="1" spans="1:10">
      <c r="A49" s="21" t="s">
        <v>140</v>
      </c>
      <c r="B49" s="21" t="s">
        <v>141</v>
      </c>
      <c r="C49" s="22" t="s">
        <v>131</v>
      </c>
      <c r="D49" s="21"/>
      <c r="E49" s="32"/>
      <c r="F49" s="104"/>
      <c r="G49" s="22"/>
      <c r="H49" s="128"/>
      <c r="I49" s="33"/>
    </row>
    <row r="50" ht="19" customHeight="1" spans="1:10">
      <c r="A50" s="36"/>
      <c r="B50" s="22" t="s">
        <v>142</v>
      </c>
      <c r="C50" s="22" t="s">
        <v>131</v>
      </c>
      <c r="D50" s="22"/>
      <c r="E50" s="61"/>
      <c r="F50" s="109"/>
      <c r="G50" s="22"/>
      <c r="H50" s="128"/>
      <c r="I50" s="66"/>
    </row>
    <row r="51" ht="19" customHeight="1" spans="1:10">
      <c r="A51" s="28"/>
      <c r="B51" s="21" t="s">
        <v>143</v>
      </c>
      <c r="C51" s="22" t="s">
        <v>131</v>
      </c>
      <c r="D51" s="21"/>
      <c r="E51" s="32"/>
      <c r="F51" s="104"/>
      <c r="G51" s="22"/>
      <c r="H51" s="128"/>
      <c r="I51" s="33"/>
    </row>
    <row r="52" ht="19" customHeight="1" spans="1:10">
      <c r="A52" s="28"/>
      <c r="B52" s="22" t="s">
        <v>144</v>
      </c>
      <c r="C52" s="22" t="s">
        <v>131</v>
      </c>
      <c r="D52" s="22"/>
      <c r="E52" s="61"/>
      <c r="F52" s="109"/>
      <c r="G52" s="22"/>
      <c r="H52" s="128"/>
      <c r="I52" s="66"/>
    </row>
    <row r="53" ht="19" customHeight="1" spans="1:10">
      <c r="A53" s="36"/>
      <c r="B53" s="21" t="s">
        <v>145</v>
      </c>
      <c r="C53" s="22" t="s">
        <v>131</v>
      </c>
      <c r="D53" s="21"/>
      <c r="E53" s="32"/>
      <c r="F53" s="104"/>
      <c r="G53" s="22"/>
      <c r="H53" s="128"/>
      <c r="I53" s="33"/>
    </row>
    <row r="54" ht="19" customHeight="1" spans="1:10">
      <c r="A54" s="28"/>
      <c r="B54" s="22" t="s">
        <v>146</v>
      </c>
      <c r="C54" s="22" t="s">
        <v>131</v>
      </c>
      <c r="D54" s="22"/>
      <c r="E54" s="61"/>
      <c r="F54" s="109"/>
      <c r="G54" s="22"/>
      <c r="H54" s="128"/>
      <c r="I54" s="66"/>
    </row>
    <row r="55" ht="19" customHeight="1" spans="1:10">
      <c r="A55" s="36"/>
      <c r="B55" s="21" t="s">
        <v>147</v>
      </c>
      <c r="C55" s="22" t="s">
        <v>131</v>
      </c>
      <c r="D55" s="21"/>
      <c r="E55" s="32"/>
      <c r="F55" s="104"/>
      <c r="G55" s="22"/>
      <c r="H55" s="128"/>
      <c r="I55" s="33"/>
    </row>
    <row r="56" ht="19" customHeight="1" spans="1:10">
      <c r="A56" s="41"/>
      <c r="B56" s="22" t="s">
        <v>148</v>
      </c>
      <c r="C56" s="22" t="s">
        <v>131</v>
      </c>
      <c r="D56" s="22"/>
      <c r="E56" s="61"/>
      <c r="F56" s="109"/>
      <c r="G56" s="22"/>
      <c r="H56" s="128"/>
      <c r="I56" s="66"/>
    </row>
    <row r="58" spans="1:10">
      <c r="E58" s="105"/>
      <c r="F58" s="135"/>
      <c r="G58" s="136"/>
      <c r="H58" s="137"/>
      <c r="I58" s="137"/>
      <c r="J58" s="137"/>
    </row>
  </sheetData>
  <mergeCells count="4">
    <mergeCell ref="A1:E1"/>
    <mergeCell ref="A17:E17"/>
    <mergeCell ref="A36:E36"/>
    <mergeCell ref="A3:A4"/>
  </mergeCells>
  <dataValidations count="1">
    <dataValidation allowBlank="1" showInputMessage="1" showErrorMessage="1" sqref="B20 D20 I20 B18:D19 F18:I19"/>
  </dataValidations>
  <pageMargins left="0.75" right="0.75" top="1" bottom="1" header="0.5" footer="0.5"/>
  <headerFooter/>
  <ignoredErrors>
    <ignoredError sqref="B18:B19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6"/>
  <sheetViews>
    <sheetView zoomScale="120" zoomScaleNormal="120" workbookViewId="0">
      <selection activeCell="K22" sqref="K22"/>
    </sheetView>
  </sheetViews>
  <sheetFormatPr defaultColWidth="9" defaultRowHeight="15"/>
  <cols>
    <col min="1" max="1" width="18.375" style="3" customWidth="1"/>
    <col min="2" max="2" width="14.475" style="3" customWidth="1"/>
    <col min="3" max="3" width="17.125" style="3" customWidth="1"/>
    <col min="4" max="4" width="9.25" style="3" customWidth="1"/>
    <col min="5" max="6" width="9.125" style="3"/>
    <col min="7" max="16384" width="9" style="3"/>
  </cols>
  <sheetData>
    <row r="2" ht="22" customHeight="1" spans="1:15">
      <c r="A2" s="8" t="s">
        <v>149</v>
      </c>
      <c r="B2" s="8"/>
      <c r="C2" s="8"/>
      <c r="D2" s="8"/>
      <c r="E2" s="8"/>
      <c r="F2" s="8"/>
    </row>
    <row r="3" spans="1:15">
      <c r="A3" s="9" t="s">
        <v>150</v>
      </c>
      <c r="B3" s="9" t="s">
        <v>3</v>
      </c>
      <c r="C3" s="9" t="s">
        <v>4</v>
      </c>
      <c r="D3" s="10" t="s">
        <v>5</v>
      </c>
      <c r="E3" s="10"/>
      <c r="F3" s="11" t="s">
        <v>71</v>
      </c>
      <c r="G3" s="69"/>
      <c r="H3" s="70" t="s">
        <v>7</v>
      </c>
      <c r="I3" s="71"/>
      <c r="J3" s="16" t="s">
        <v>8</v>
      </c>
      <c r="K3" s="16"/>
      <c r="L3" s="72" t="s">
        <v>9</v>
      </c>
      <c r="M3" s="72"/>
      <c r="N3" s="13" t="s">
        <v>10</v>
      </c>
      <c r="O3" s="13"/>
    </row>
    <row r="4" spans="1:15">
      <c r="A4" s="8"/>
      <c r="B4" s="18"/>
      <c r="C4" s="8"/>
      <c r="D4" s="73" t="s">
        <v>151</v>
      </c>
      <c r="E4" s="73" t="s">
        <v>152</v>
      </c>
      <c r="F4" s="74" t="s">
        <v>151</v>
      </c>
      <c r="G4" s="74" t="s">
        <v>152</v>
      </c>
      <c r="H4" s="75" t="s">
        <v>151</v>
      </c>
      <c r="I4" s="75" t="s">
        <v>152</v>
      </c>
      <c r="J4" s="76" t="s">
        <v>151</v>
      </c>
      <c r="K4" s="76" t="s">
        <v>152</v>
      </c>
      <c r="L4" s="77" t="s">
        <v>151</v>
      </c>
      <c r="M4" s="77" t="s">
        <v>152</v>
      </c>
      <c r="N4" s="78" t="s">
        <v>151</v>
      </c>
      <c r="O4" s="78" t="s">
        <v>152</v>
      </c>
    </row>
    <row r="5" ht="19" customHeight="1" spans="1:15">
      <c r="A5" s="21" t="s">
        <v>153</v>
      </c>
      <c r="B5" s="22" t="s">
        <v>154</v>
      </c>
      <c r="C5" s="23" t="s">
        <v>155</v>
      </c>
      <c r="D5" s="29"/>
      <c r="E5" s="29"/>
      <c r="F5" s="31"/>
      <c r="G5" s="32"/>
      <c r="H5" s="33"/>
      <c r="I5" s="33"/>
      <c r="J5" s="29"/>
      <c r="K5" s="29"/>
      <c r="L5" s="31"/>
      <c r="M5" s="31"/>
      <c r="N5" s="79"/>
      <c r="O5" s="79"/>
    </row>
    <row r="6" ht="19" customHeight="1" spans="1:15">
      <c r="A6" s="28"/>
      <c r="B6" s="22" t="s">
        <v>156</v>
      </c>
      <c r="C6" s="23"/>
      <c r="D6" s="29"/>
      <c r="E6" s="29"/>
      <c r="F6" s="31"/>
      <c r="G6" s="32"/>
      <c r="H6" s="33"/>
      <c r="I6" s="33"/>
      <c r="J6" s="29"/>
      <c r="K6" s="29"/>
      <c r="L6" s="31"/>
      <c r="M6" s="31"/>
      <c r="N6" s="79"/>
      <c r="O6" s="79"/>
    </row>
    <row r="7" ht="19" customHeight="1" spans="1:15">
      <c r="A7" s="28"/>
      <c r="B7" s="22" t="s">
        <v>157</v>
      </c>
      <c r="C7" s="30">
        <v>1</v>
      </c>
      <c r="D7" s="80"/>
      <c r="E7" s="30"/>
      <c r="F7" s="35"/>
      <c r="G7" s="35"/>
      <c r="H7" s="34"/>
      <c r="I7" s="34"/>
      <c r="J7" s="29"/>
      <c r="K7" s="29"/>
      <c r="L7" s="31"/>
      <c r="M7" s="31"/>
      <c r="N7" s="81"/>
      <c r="O7" s="82"/>
    </row>
    <row r="8" ht="19" customHeight="1" spans="1:15">
      <c r="A8" s="28"/>
      <c r="B8" s="22" t="s">
        <v>158</v>
      </c>
      <c r="C8" s="23" t="s">
        <v>155</v>
      </c>
      <c r="D8" s="21"/>
      <c r="E8" s="21"/>
      <c r="F8" s="32"/>
      <c r="G8" s="32"/>
      <c r="H8" s="33"/>
      <c r="I8" s="33"/>
      <c r="J8" s="29"/>
      <c r="K8" s="29"/>
      <c r="L8" s="83"/>
      <c r="M8" s="83"/>
      <c r="N8" s="84"/>
      <c r="O8" s="84"/>
    </row>
    <row r="9" ht="19" customHeight="1" spans="1:15">
      <c r="A9" s="36"/>
      <c r="B9" s="22" t="s">
        <v>159</v>
      </c>
      <c r="C9" s="23" t="s">
        <v>160</v>
      </c>
      <c r="D9" s="29"/>
      <c r="E9" s="24"/>
      <c r="F9" s="85"/>
      <c r="G9" s="32"/>
      <c r="H9" s="84"/>
      <c r="I9" s="84"/>
      <c r="J9" s="29"/>
      <c r="K9" s="29"/>
      <c r="L9" s="31"/>
      <c r="M9" s="31"/>
      <c r="N9" s="84"/>
      <c r="O9" s="84"/>
    </row>
    <row r="10" ht="19" customHeight="1" spans="1:15">
      <c r="A10" s="36"/>
      <c r="B10" s="22" t="s">
        <v>161</v>
      </c>
      <c r="C10" s="22" t="s">
        <v>162</v>
      </c>
      <c r="D10" s="29"/>
      <c r="E10" s="24"/>
      <c r="F10" s="85"/>
      <c r="G10" s="32"/>
      <c r="H10" s="84"/>
      <c r="I10" s="84"/>
      <c r="J10" s="29"/>
      <c r="K10" s="29"/>
      <c r="L10" s="31"/>
      <c r="M10" s="31"/>
      <c r="N10" s="79"/>
      <c r="O10" s="86"/>
    </row>
    <row r="11" ht="19" customHeight="1" spans="1:15">
      <c r="A11" s="36"/>
      <c r="B11" s="22" t="s">
        <v>163</v>
      </c>
      <c r="C11" s="22" t="s">
        <v>164</v>
      </c>
      <c r="D11" s="29"/>
      <c r="E11" s="24"/>
      <c r="F11" s="85"/>
      <c r="G11" s="32"/>
      <c r="H11" s="33"/>
      <c r="I11" s="33"/>
      <c r="J11" s="29"/>
      <c r="K11" s="29"/>
      <c r="L11" s="31"/>
      <c r="M11" s="31"/>
      <c r="N11" s="79"/>
      <c r="O11" s="86"/>
    </row>
    <row r="12" ht="19" customHeight="1" spans="1:15">
      <c r="A12" s="36"/>
      <c r="B12" s="22" t="s">
        <v>165</v>
      </c>
      <c r="C12" s="22" t="s">
        <v>166</v>
      </c>
      <c r="D12" s="87"/>
      <c r="E12" s="42"/>
      <c r="F12" s="88"/>
      <c r="G12" s="61"/>
      <c r="H12" s="66"/>
      <c r="I12" s="66"/>
      <c r="J12" s="29"/>
      <c r="K12" s="29"/>
      <c r="L12" s="12"/>
      <c r="M12" s="12"/>
      <c r="N12" s="89"/>
      <c r="O12" s="90"/>
    </row>
    <row r="13" s="3" customFormat="1" ht="19" customHeight="1" spans="1:15">
      <c r="A13" s="21" t="s">
        <v>48</v>
      </c>
      <c r="B13" s="91" t="s">
        <v>167</v>
      </c>
      <c r="C13" s="22" t="s">
        <v>168</v>
      </c>
      <c r="D13" s="29"/>
      <c r="E13" s="29"/>
      <c r="F13" s="92"/>
      <c r="G13" s="93"/>
      <c r="H13" s="53"/>
      <c r="I13" s="53"/>
      <c r="J13" s="29"/>
      <c r="K13" s="29"/>
      <c r="L13" s="31"/>
      <c r="M13" s="31"/>
      <c r="N13" s="79"/>
      <c r="O13" s="79"/>
    </row>
    <row r="14" ht="19" customHeight="1" spans="1:15">
      <c r="A14" s="91" t="s">
        <v>53</v>
      </c>
      <c r="B14" s="91" t="s">
        <v>167</v>
      </c>
      <c r="C14" s="22" t="s">
        <v>168</v>
      </c>
      <c r="D14" s="87"/>
      <c r="E14" s="87"/>
      <c r="F14" s="92"/>
      <c r="G14" s="93"/>
      <c r="H14" s="53"/>
      <c r="I14" s="53"/>
      <c r="J14" s="87"/>
      <c r="K14" s="87"/>
      <c r="L14" s="94"/>
      <c r="M14" s="94"/>
      <c r="N14" s="89"/>
      <c r="O14" s="89"/>
    </row>
    <row r="16" spans="1:15">
      <c r="H16" s="95"/>
    </row>
  </sheetData>
  <mergeCells count="12">
    <mergeCell ref="A2:E2"/>
    <mergeCell ref="D3:E3"/>
    <mergeCell ref="F3:G3"/>
    <mergeCell ref="H3:I3"/>
    <mergeCell ref="J3:K3"/>
    <mergeCell ref="L3:M3"/>
    <mergeCell ref="N3:O3"/>
    <mergeCell ref="H9:I9"/>
    <mergeCell ref="H10:I10"/>
    <mergeCell ref="A3:A4"/>
    <mergeCell ref="B3:B4"/>
    <mergeCell ref="C3:C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23"/>
  <sheetViews>
    <sheetView topLeftCell="B1" workbookViewId="0">
      <selection activeCell="I22" sqref="I22"/>
    </sheetView>
  </sheetViews>
  <sheetFormatPr defaultColWidth="9" defaultRowHeight="15"/>
  <cols>
    <col min="1" max="1" width="14.75" style="3" customWidth="1"/>
    <col min="2" max="2" width="17.125" style="3" customWidth="1"/>
    <col min="3" max="3" width="10.725" style="3" customWidth="1"/>
    <col min="4" max="4" width="7.25" style="3" customWidth="1"/>
    <col min="5" max="5" width="6.875" style="3" customWidth="1"/>
    <col min="6" max="6" width="9.05833333333333" style="3" customWidth="1"/>
    <col min="7" max="7" width="8.33333333333333" style="3" customWidth="1"/>
    <col min="8" max="8" width="8.54166666666667" style="3" customWidth="1"/>
    <col min="9" max="12" width="6.55833333333333" style="3" customWidth="1"/>
    <col min="13" max="18" width="9" style="3"/>
    <col min="19" max="19" width="6.55833333333333" style="3" customWidth="1"/>
    <col min="20" max="20" width="9" style="3"/>
    <col min="21" max="21" width="9.48333333333333" style="3" customWidth="1"/>
    <col min="22" max="16384" width="9" style="3"/>
  </cols>
  <sheetData>
    <row r="2" ht="24" customHeight="1" spans="1:21">
      <c r="A2" s="8" t="s">
        <v>169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ht="21" customHeight="1" spans="1:21">
      <c r="A3" s="9" t="s">
        <v>150</v>
      </c>
      <c r="B3" s="9" t="s">
        <v>3</v>
      </c>
      <c r="C3" s="9" t="s">
        <v>4</v>
      </c>
      <c r="D3" s="10" t="s">
        <v>5</v>
      </c>
      <c r="E3" s="10"/>
      <c r="F3" s="10"/>
      <c r="G3" s="11" t="s">
        <v>71</v>
      </c>
      <c r="H3" s="11"/>
      <c r="I3" s="12"/>
      <c r="J3" s="13" t="s">
        <v>7</v>
      </c>
      <c r="K3" s="14"/>
      <c r="L3" s="15"/>
      <c r="M3" s="10" t="s">
        <v>8</v>
      </c>
      <c r="N3" s="10"/>
      <c r="O3" s="10"/>
      <c r="P3" s="56" t="s">
        <v>9</v>
      </c>
      <c r="Q3" s="11"/>
      <c r="R3" s="11"/>
      <c r="S3" s="13" t="s">
        <v>10</v>
      </c>
      <c r="T3" s="14"/>
      <c r="U3" s="14"/>
    </row>
    <row r="4" ht="21" customHeight="1" spans="1:21">
      <c r="A4" s="8"/>
      <c r="B4" s="18"/>
      <c r="C4" s="8"/>
      <c r="D4" s="9" t="s">
        <v>170</v>
      </c>
      <c r="E4" s="9" t="s">
        <v>171</v>
      </c>
      <c r="F4" s="9" t="s">
        <v>172</v>
      </c>
      <c r="G4" s="19" t="s">
        <v>170</v>
      </c>
      <c r="H4" s="19" t="s">
        <v>171</v>
      </c>
      <c r="I4" s="19" t="s">
        <v>172</v>
      </c>
      <c r="J4" s="20" t="s">
        <v>170</v>
      </c>
      <c r="K4" s="20" t="s">
        <v>171</v>
      </c>
      <c r="L4" s="20" t="s">
        <v>172</v>
      </c>
      <c r="M4" s="9" t="s">
        <v>170</v>
      </c>
      <c r="N4" s="9" t="s">
        <v>171</v>
      </c>
      <c r="O4" s="9" t="s">
        <v>172</v>
      </c>
      <c r="P4" s="19" t="s">
        <v>170</v>
      </c>
      <c r="Q4" s="19" t="s">
        <v>171</v>
      </c>
      <c r="R4" s="19" t="s">
        <v>172</v>
      </c>
      <c r="S4" s="20" t="s">
        <v>170</v>
      </c>
      <c r="T4" s="20" t="s">
        <v>171</v>
      </c>
      <c r="U4" s="20" t="s">
        <v>172</v>
      </c>
    </row>
    <row r="5" ht="23" customHeight="1" spans="1:21">
      <c r="A5" s="21" t="s">
        <v>173</v>
      </c>
      <c r="B5" s="38" t="s">
        <v>174</v>
      </c>
      <c r="C5" s="23" t="s">
        <v>175</v>
      </c>
      <c r="D5" s="21"/>
      <c r="E5" s="21"/>
      <c r="F5" s="21"/>
      <c r="G5" s="32"/>
      <c r="H5" s="32"/>
      <c r="I5" s="32"/>
      <c r="J5" s="33"/>
      <c r="K5" s="33"/>
      <c r="L5" s="33"/>
      <c r="M5" s="21"/>
      <c r="N5" s="21"/>
      <c r="O5" s="21"/>
      <c r="P5" s="32"/>
      <c r="Q5" s="32"/>
      <c r="R5" s="32"/>
      <c r="S5" s="57"/>
      <c r="T5" s="57"/>
      <c r="U5" s="57"/>
    </row>
    <row r="6" ht="23" customHeight="1" spans="1:21">
      <c r="A6" s="28"/>
      <c r="B6" s="38" t="s">
        <v>176</v>
      </c>
      <c r="C6" s="23"/>
      <c r="D6" s="21"/>
      <c r="E6" s="21"/>
      <c r="F6" s="21"/>
      <c r="G6" s="32"/>
      <c r="H6" s="32"/>
      <c r="I6" s="32"/>
      <c r="J6" s="33"/>
      <c r="K6" s="33"/>
      <c r="L6" s="33"/>
      <c r="M6" s="21"/>
      <c r="N6" s="21"/>
      <c r="O6" s="21"/>
      <c r="P6" s="32"/>
      <c r="Q6" s="32"/>
      <c r="R6" s="32"/>
      <c r="S6" s="57"/>
      <c r="T6" s="57"/>
      <c r="U6" s="57"/>
    </row>
    <row r="7" ht="23" customHeight="1" spans="1:21">
      <c r="A7" s="36"/>
      <c r="B7" s="22" t="s">
        <v>177</v>
      </c>
      <c r="C7" s="21" t="s">
        <v>178</v>
      </c>
      <c r="D7" s="21"/>
      <c r="E7" s="21"/>
      <c r="F7" s="21"/>
      <c r="G7" s="32"/>
      <c r="H7" s="32"/>
      <c r="I7" s="32"/>
      <c r="J7" s="33"/>
      <c r="K7" s="33"/>
      <c r="L7" s="33"/>
      <c r="M7" s="21"/>
      <c r="N7" s="21"/>
      <c r="O7" s="21"/>
      <c r="P7" s="32"/>
      <c r="Q7" s="32"/>
      <c r="R7" s="32"/>
      <c r="S7" s="57"/>
      <c r="T7" s="57"/>
      <c r="U7" s="57"/>
    </row>
    <row r="8" ht="40" customHeight="1" spans="1:21">
      <c r="A8" s="36"/>
      <c r="B8" s="22" t="s">
        <v>179</v>
      </c>
      <c r="C8" s="21" t="s">
        <v>180</v>
      </c>
      <c r="D8" s="21"/>
      <c r="E8" s="21"/>
      <c r="F8" s="58"/>
      <c r="G8" s="59"/>
      <c r="H8" s="59"/>
      <c r="I8" s="32"/>
      <c r="J8" s="33"/>
      <c r="K8" s="33"/>
      <c r="L8" s="33"/>
      <c r="M8" s="21"/>
      <c r="N8" s="21"/>
      <c r="O8" s="21"/>
      <c r="P8" s="32"/>
      <c r="Q8" s="32"/>
      <c r="R8" s="32"/>
      <c r="S8" s="57"/>
      <c r="T8" s="57"/>
      <c r="U8" s="60"/>
    </row>
    <row r="9" ht="23" customHeight="1" spans="1:21">
      <c r="A9" s="28"/>
      <c r="B9" s="22" t="s">
        <v>181</v>
      </c>
      <c r="C9" s="23" t="s">
        <v>182</v>
      </c>
      <c r="D9" s="21"/>
      <c r="E9" s="21"/>
      <c r="F9" s="21"/>
      <c r="G9" s="32"/>
      <c r="H9" s="32"/>
      <c r="I9" s="32"/>
      <c r="J9" s="33"/>
      <c r="K9" s="33"/>
      <c r="L9" s="33"/>
      <c r="M9" s="21"/>
      <c r="N9" s="21"/>
      <c r="O9" s="21"/>
      <c r="P9" s="32"/>
      <c r="Q9" s="32"/>
      <c r="R9" s="32"/>
      <c r="S9" s="57"/>
      <c r="T9" s="57"/>
      <c r="U9" s="57"/>
    </row>
    <row r="10" ht="23" customHeight="1" spans="1:21">
      <c r="A10" s="36"/>
      <c r="B10" s="38" t="s">
        <v>183</v>
      </c>
      <c r="C10" s="23" t="s">
        <v>184</v>
      </c>
      <c r="D10" s="21"/>
      <c r="E10" s="21"/>
      <c r="F10" s="21"/>
      <c r="G10" s="32"/>
      <c r="H10" s="32"/>
      <c r="I10" s="32"/>
      <c r="J10" s="33"/>
      <c r="K10" s="33"/>
      <c r="L10" s="33"/>
      <c r="M10" s="21"/>
      <c r="N10" s="21"/>
      <c r="O10" s="21"/>
      <c r="P10" s="32"/>
      <c r="Q10" s="32"/>
      <c r="R10" s="32"/>
      <c r="S10" s="57"/>
      <c r="T10" s="57"/>
      <c r="U10" s="57"/>
    </row>
    <row r="11" ht="23" customHeight="1" spans="1:21">
      <c r="A11" s="28"/>
      <c r="B11" s="22" t="s">
        <v>185</v>
      </c>
      <c r="C11" s="23" t="s">
        <v>186</v>
      </c>
      <c r="D11" s="21"/>
      <c r="E11" s="21"/>
      <c r="F11" s="21"/>
      <c r="G11" s="32"/>
      <c r="H11" s="32"/>
      <c r="I11" s="32"/>
      <c r="J11" s="33"/>
      <c r="K11" s="33"/>
      <c r="L11" s="33"/>
      <c r="M11" s="21"/>
      <c r="N11" s="21"/>
      <c r="O11" s="21"/>
      <c r="P11" s="32"/>
      <c r="Q11" s="32"/>
      <c r="R11" s="32"/>
      <c r="S11" s="57"/>
      <c r="T11" s="57"/>
      <c r="U11" s="57"/>
    </row>
    <row r="12" ht="23" customHeight="1" spans="1:21">
      <c r="A12" s="36"/>
      <c r="B12" s="22" t="s">
        <v>187</v>
      </c>
      <c r="C12" s="23" t="s">
        <v>188</v>
      </c>
      <c r="D12" s="22"/>
      <c r="E12" s="22"/>
      <c r="F12" s="22"/>
      <c r="G12" s="61"/>
      <c r="H12" s="61"/>
      <c r="I12" s="61"/>
      <c r="J12" s="33"/>
      <c r="K12" s="33"/>
      <c r="L12" s="33"/>
      <c r="M12" s="21"/>
      <c r="N12" s="21"/>
      <c r="O12" s="21"/>
      <c r="P12" s="32"/>
      <c r="Q12" s="32"/>
      <c r="R12" s="32"/>
      <c r="S12" s="57"/>
      <c r="T12" s="57"/>
      <c r="U12" s="57"/>
    </row>
    <row r="13" ht="23" customHeight="1" spans="1:21">
      <c r="A13" s="21" t="s">
        <v>189</v>
      </c>
      <c r="B13" s="22" t="s">
        <v>190</v>
      </c>
      <c r="C13" s="23" t="s">
        <v>191</v>
      </c>
      <c r="D13" s="21"/>
      <c r="E13" s="21"/>
      <c r="F13" s="21"/>
      <c r="G13" s="32"/>
      <c r="H13" s="32"/>
      <c r="I13" s="32"/>
      <c r="J13" s="33"/>
      <c r="K13" s="33"/>
      <c r="L13" s="33"/>
      <c r="M13" s="21"/>
      <c r="N13" s="21"/>
      <c r="O13" s="21"/>
      <c r="P13" s="32"/>
      <c r="Q13" s="32"/>
      <c r="R13" s="32"/>
      <c r="S13" s="57"/>
      <c r="T13" s="57"/>
      <c r="U13" s="57"/>
    </row>
    <row r="14" ht="23" customHeight="1" spans="1:21">
      <c r="A14" s="62"/>
      <c r="B14" s="22" t="s">
        <v>192</v>
      </c>
      <c r="C14" s="23" t="s">
        <v>186</v>
      </c>
      <c r="D14" s="21"/>
      <c r="E14" s="21"/>
      <c r="F14" s="21"/>
      <c r="G14" s="32"/>
      <c r="H14" s="32"/>
      <c r="I14" s="32"/>
      <c r="J14" s="33"/>
      <c r="K14" s="33"/>
      <c r="L14" s="33"/>
      <c r="M14" s="21"/>
      <c r="N14" s="21"/>
      <c r="O14" s="21"/>
      <c r="P14" s="32"/>
      <c r="Q14" s="32"/>
      <c r="R14" s="32"/>
      <c r="S14" s="57"/>
      <c r="T14" s="57"/>
      <c r="U14" s="57"/>
    </row>
    <row r="15" ht="23" customHeight="1" spans="1:21">
      <c r="A15" s="28"/>
      <c r="B15" s="22" t="s">
        <v>181</v>
      </c>
      <c r="C15" s="23" t="s">
        <v>193</v>
      </c>
      <c r="D15" s="21"/>
      <c r="E15" s="21"/>
      <c r="F15" s="21"/>
      <c r="G15" s="32"/>
      <c r="H15" s="32"/>
      <c r="I15" s="32"/>
      <c r="J15" s="33"/>
      <c r="K15" s="33"/>
      <c r="L15" s="33"/>
      <c r="M15" s="21"/>
      <c r="N15" s="21"/>
      <c r="O15" s="21"/>
      <c r="P15" s="32"/>
      <c r="Q15" s="32"/>
      <c r="R15" s="32"/>
      <c r="S15" s="33"/>
      <c r="T15" s="33"/>
      <c r="U15" s="33"/>
    </row>
    <row r="16" ht="23" customHeight="1" spans="1:21">
      <c r="A16" s="50"/>
      <c r="B16" s="38" t="s">
        <v>194</v>
      </c>
      <c r="C16" s="23" t="s">
        <v>195</v>
      </c>
      <c r="D16" s="21"/>
      <c r="E16" s="21"/>
      <c r="F16" s="21"/>
      <c r="G16" s="32"/>
      <c r="H16" s="32"/>
      <c r="I16" s="32"/>
      <c r="J16" s="33"/>
      <c r="K16" s="33"/>
      <c r="L16" s="33"/>
      <c r="M16" s="21"/>
      <c r="N16" s="21"/>
      <c r="O16" s="21"/>
      <c r="P16" s="32"/>
      <c r="Q16" s="32"/>
      <c r="R16" s="32"/>
      <c r="S16" s="33"/>
      <c r="T16" s="33"/>
      <c r="U16" s="33"/>
    </row>
    <row r="17" ht="27" customHeight="1" spans="1:21">
      <c r="A17" s="21" t="s">
        <v>196</v>
      </c>
      <c r="B17" s="22" t="s">
        <v>197</v>
      </c>
      <c r="C17" s="23" t="s">
        <v>198</v>
      </c>
      <c r="D17" s="21"/>
      <c r="E17" s="21"/>
      <c r="F17" s="21"/>
      <c r="G17" s="32"/>
      <c r="H17" s="32"/>
      <c r="I17" s="32"/>
      <c r="J17" s="33"/>
      <c r="K17" s="33"/>
      <c r="L17" s="33"/>
      <c r="M17" s="21"/>
      <c r="N17" s="21"/>
      <c r="O17" s="21"/>
      <c r="P17" s="32"/>
      <c r="Q17" s="32"/>
      <c r="R17" s="32"/>
      <c r="S17" s="57"/>
      <c r="T17" s="57"/>
      <c r="U17" s="57"/>
    </row>
    <row r="18" ht="30" customHeight="1" spans="1:21">
      <c r="A18" s="28"/>
      <c r="B18" s="22" t="s">
        <v>199</v>
      </c>
      <c r="C18" s="23" t="s">
        <v>200</v>
      </c>
      <c r="D18" s="21"/>
      <c r="E18" s="21"/>
      <c r="F18" s="21"/>
      <c r="G18" s="32"/>
      <c r="H18" s="32"/>
      <c r="I18" s="32"/>
      <c r="J18" s="33"/>
      <c r="K18" s="33"/>
      <c r="L18" s="33"/>
      <c r="M18" s="21"/>
      <c r="N18" s="21"/>
      <c r="O18" s="21"/>
      <c r="P18" s="32"/>
      <c r="Q18" s="32"/>
      <c r="R18" s="32"/>
      <c r="S18" s="57"/>
      <c r="T18" s="57"/>
      <c r="U18" s="57"/>
    </row>
    <row r="19" ht="19" customHeight="1" spans="1:21">
      <c r="A19" s="63" t="s">
        <v>201</v>
      </c>
      <c r="B19" s="22" t="s">
        <v>202</v>
      </c>
      <c r="C19" s="23" t="s">
        <v>203</v>
      </c>
      <c r="D19" s="21"/>
      <c r="E19" s="21"/>
      <c r="F19" s="21"/>
      <c r="G19" s="32"/>
      <c r="H19" s="32"/>
      <c r="I19" s="32"/>
      <c r="J19" s="33"/>
      <c r="K19" s="33"/>
      <c r="L19" s="33"/>
      <c r="M19" s="21"/>
      <c r="N19" s="21"/>
      <c r="O19" s="21"/>
      <c r="P19" s="32"/>
      <c r="Q19" s="32"/>
      <c r="R19" s="32"/>
      <c r="S19" s="57"/>
      <c r="T19" s="57"/>
      <c r="U19" s="57"/>
    </row>
    <row r="20" ht="21" customHeight="1" spans="1:21">
      <c r="A20" s="64"/>
      <c r="B20" s="22" t="s">
        <v>204</v>
      </c>
      <c r="C20" s="23" t="s">
        <v>203</v>
      </c>
      <c r="D20" s="21"/>
      <c r="E20" s="21"/>
      <c r="F20" s="21"/>
      <c r="G20" s="32"/>
      <c r="H20" s="32"/>
      <c r="I20" s="32"/>
      <c r="J20" s="33"/>
      <c r="K20" s="33"/>
      <c r="L20" s="33"/>
      <c r="M20" s="21"/>
      <c r="N20" s="21"/>
      <c r="O20" s="21"/>
      <c r="P20" s="32"/>
      <c r="Q20" s="32"/>
      <c r="R20" s="32"/>
      <c r="S20" s="57"/>
      <c r="T20" s="57"/>
      <c r="U20" s="57"/>
    </row>
    <row r="21" ht="23" customHeight="1" spans="1:21">
      <c r="A21" s="64"/>
      <c r="B21" s="22" t="s">
        <v>205</v>
      </c>
      <c r="C21" s="30">
        <f>100%</f>
        <v>1</v>
      </c>
      <c r="D21" s="22"/>
      <c r="E21" s="22"/>
      <c r="F21" s="22"/>
      <c r="G21" s="61"/>
      <c r="H21" s="61"/>
      <c r="I21" s="61"/>
      <c r="J21" s="33"/>
      <c r="K21" s="33"/>
      <c r="L21" s="33"/>
      <c r="M21" s="21"/>
      <c r="N21" s="21"/>
      <c r="O21" s="21"/>
      <c r="P21" s="32"/>
      <c r="Q21" s="32"/>
      <c r="R21" s="32"/>
      <c r="S21" s="57"/>
      <c r="T21" s="57"/>
      <c r="U21" s="57"/>
    </row>
    <row r="22" ht="23" customHeight="1" spans="1:21">
      <c r="A22" s="65"/>
      <c r="B22" s="22" t="s">
        <v>206</v>
      </c>
      <c r="C22" s="22" t="s">
        <v>207</v>
      </c>
      <c r="D22" s="22"/>
      <c r="E22" s="22"/>
      <c r="F22" s="22"/>
      <c r="G22" s="61"/>
      <c r="H22" s="61"/>
      <c r="I22" s="61"/>
      <c r="J22" s="66"/>
      <c r="K22" s="66"/>
      <c r="L22" s="66"/>
      <c r="M22" s="21"/>
      <c r="N22" s="21"/>
      <c r="O22" s="21"/>
      <c r="P22" s="32"/>
      <c r="Q22" s="32"/>
      <c r="R22" s="32"/>
      <c r="S22" s="67"/>
      <c r="T22" s="67"/>
      <c r="U22" s="67"/>
    </row>
    <row r="23" ht="18" customHeight="1" spans="1:21">
      <c r="A23" s="50"/>
      <c r="B23" s="22" t="s">
        <v>208</v>
      </c>
      <c r="C23" s="22" t="s">
        <v>209</v>
      </c>
      <c r="D23" s="50"/>
      <c r="E23" s="50"/>
      <c r="F23" s="50"/>
      <c r="G23" s="51"/>
      <c r="H23" s="51"/>
      <c r="I23" s="51"/>
      <c r="J23" s="52"/>
      <c r="K23" s="52"/>
      <c r="L23" s="52"/>
      <c r="M23" s="22"/>
      <c r="N23" s="22"/>
      <c r="O23" s="22"/>
      <c r="P23" s="43"/>
      <c r="Q23" s="43"/>
      <c r="R23" s="43"/>
      <c r="S23" s="68"/>
      <c r="T23" s="68"/>
      <c r="U23" s="68"/>
    </row>
  </sheetData>
  <mergeCells count="20">
    <mergeCell ref="A2:I2"/>
    <mergeCell ref="D3:F3"/>
    <mergeCell ref="G3:I3"/>
    <mergeCell ref="J3:L3"/>
    <mergeCell ref="M3:O3"/>
    <mergeCell ref="P3:R3"/>
    <mergeCell ref="S3:U3"/>
    <mergeCell ref="D17:F17"/>
    <mergeCell ref="D18:F18"/>
    <mergeCell ref="D19:F19"/>
    <mergeCell ref="G19:I19"/>
    <mergeCell ref="J19:L19"/>
    <mergeCell ref="D20:F20"/>
    <mergeCell ref="G20:I20"/>
    <mergeCell ref="J20:L20"/>
    <mergeCell ref="A3:A4"/>
    <mergeCell ref="A13:A14"/>
    <mergeCell ref="A19:A22"/>
    <mergeCell ref="B3:B4"/>
    <mergeCell ref="C3:C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14"/>
  <sheetViews>
    <sheetView zoomScale="110" zoomScaleNormal="110" workbookViewId="0">
      <selection activeCell="O16" sqref="O16"/>
    </sheetView>
  </sheetViews>
  <sheetFormatPr defaultColWidth="9" defaultRowHeight="15"/>
  <cols>
    <col min="1" max="1" width="10.875" style="3" customWidth="1"/>
    <col min="2" max="2" width="21.5916666666667" style="3" customWidth="1"/>
    <col min="3" max="3" width="6.13333333333333" style="3" customWidth="1"/>
    <col min="4" max="4" width="7.25" style="3" customWidth="1"/>
    <col min="5" max="5" width="7.75" style="3" customWidth="1"/>
    <col min="6" max="6" width="6.25" style="3" customWidth="1"/>
    <col min="7" max="8" width="7.5" style="3" customWidth="1"/>
    <col min="9" max="12" width="6.925" style="3" customWidth="1"/>
    <col min="13" max="18" width="9" style="3"/>
    <col min="19" max="19" width="8.075" style="3" customWidth="1"/>
    <col min="20" max="20" width="7.95833333333333" style="3" customWidth="1"/>
    <col min="21" max="21" width="8.63333333333333" style="3" customWidth="1"/>
    <col min="22" max="16384" width="9" style="3"/>
  </cols>
  <sheetData>
    <row r="2" ht="21" customHeight="1" spans="1:21">
      <c r="A2" s="8" t="s">
        <v>210</v>
      </c>
      <c r="B2" s="8"/>
      <c r="C2" s="8"/>
      <c r="D2" s="8"/>
      <c r="E2" s="8"/>
    </row>
    <row r="3" ht="21" customHeight="1" spans="1:21">
      <c r="A3" s="9" t="s">
        <v>150</v>
      </c>
      <c r="B3" s="9" t="s">
        <v>3</v>
      </c>
      <c r="C3" s="9" t="s">
        <v>4</v>
      </c>
      <c r="D3" s="10" t="s">
        <v>5</v>
      </c>
      <c r="E3" s="10"/>
      <c r="F3" s="10"/>
      <c r="G3" s="11" t="s">
        <v>71</v>
      </c>
      <c r="H3" s="11"/>
      <c r="I3" s="12"/>
      <c r="J3" s="13" t="s">
        <v>7</v>
      </c>
      <c r="K3" s="14"/>
      <c r="L3" s="15"/>
      <c r="M3" s="16" t="s">
        <v>8</v>
      </c>
      <c r="N3" s="16"/>
      <c r="O3" s="16"/>
      <c r="P3" s="17" t="s">
        <v>9</v>
      </c>
      <c r="Q3" s="11"/>
      <c r="R3" s="12"/>
      <c r="S3" s="13" t="s">
        <v>10</v>
      </c>
      <c r="T3" s="14"/>
      <c r="U3" s="14"/>
    </row>
    <row r="4" ht="22" customHeight="1" spans="1:21">
      <c r="A4" s="8"/>
      <c r="B4" s="18"/>
      <c r="C4" s="8"/>
      <c r="D4" s="9" t="s">
        <v>170</v>
      </c>
      <c r="E4" s="9" t="s">
        <v>171</v>
      </c>
      <c r="F4" s="9" t="s">
        <v>172</v>
      </c>
      <c r="G4" s="19" t="s">
        <v>170</v>
      </c>
      <c r="H4" s="19" t="s">
        <v>171</v>
      </c>
      <c r="I4" s="19" t="s">
        <v>172</v>
      </c>
      <c r="J4" s="20" t="s">
        <v>170</v>
      </c>
      <c r="K4" s="20" t="s">
        <v>171</v>
      </c>
      <c r="L4" s="20" t="s">
        <v>172</v>
      </c>
      <c r="M4" s="9" t="s">
        <v>170</v>
      </c>
      <c r="N4" s="9" t="s">
        <v>171</v>
      </c>
      <c r="O4" s="9" t="s">
        <v>172</v>
      </c>
      <c r="P4" s="19" t="s">
        <v>170</v>
      </c>
      <c r="Q4" s="19" t="s">
        <v>171</v>
      </c>
      <c r="R4" s="19" t="s">
        <v>172</v>
      </c>
      <c r="S4" s="20" t="s">
        <v>170</v>
      </c>
      <c r="T4" s="20" t="s">
        <v>171</v>
      </c>
      <c r="U4" s="20" t="s">
        <v>172</v>
      </c>
    </row>
    <row r="5" ht="18" customHeight="1" spans="1:21">
      <c r="A5" s="21" t="s">
        <v>211</v>
      </c>
      <c r="B5" s="22" t="s">
        <v>212</v>
      </c>
      <c r="C5" s="23" t="s">
        <v>213</v>
      </c>
      <c r="D5" s="24"/>
      <c r="E5" s="24"/>
      <c r="F5" s="24"/>
      <c r="G5" s="25"/>
      <c r="H5" s="25"/>
      <c r="I5" s="25"/>
      <c r="J5" s="26"/>
      <c r="K5" s="26"/>
      <c r="L5" s="26"/>
      <c r="M5" s="24"/>
      <c r="N5" s="24"/>
      <c r="O5" s="24"/>
      <c r="P5" s="27"/>
      <c r="Q5" s="27"/>
      <c r="R5" s="27"/>
      <c r="S5" s="26"/>
      <c r="T5" s="26"/>
      <c r="U5" s="26"/>
    </row>
    <row r="6" ht="18" customHeight="1" spans="1:21">
      <c r="A6" s="28"/>
      <c r="B6" s="22" t="s">
        <v>214</v>
      </c>
      <c r="C6" s="23" t="s">
        <v>213</v>
      </c>
      <c r="D6" s="29"/>
      <c r="E6" s="30"/>
      <c r="F6" s="30"/>
      <c r="G6" s="31"/>
      <c r="H6" s="31"/>
      <c r="I6" s="32"/>
      <c r="J6" s="33"/>
      <c r="K6" s="33"/>
      <c r="L6" s="33"/>
      <c r="M6" s="24"/>
      <c r="N6" s="24"/>
      <c r="O6" s="24"/>
      <c r="P6" s="27"/>
      <c r="Q6" s="27"/>
      <c r="R6" s="27"/>
      <c r="S6" s="29"/>
      <c r="T6" s="34"/>
      <c r="U6" s="34"/>
    </row>
    <row r="7" ht="18" customHeight="1" spans="1:21">
      <c r="A7" s="28"/>
      <c r="B7" s="22" t="s">
        <v>215</v>
      </c>
      <c r="C7" s="23" t="s">
        <v>216</v>
      </c>
      <c r="D7" s="21"/>
      <c r="E7" s="21"/>
      <c r="F7" s="21"/>
      <c r="G7" s="35"/>
      <c r="H7" s="25"/>
      <c r="I7" s="32"/>
      <c r="J7" s="26"/>
      <c r="K7" s="26"/>
      <c r="L7" s="26"/>
      <c r="M7" s="24"/>
      <c r="N7" s="24"/>
      <c r="O7" s="24"/>
      <c r="P7" s="27"/>
      <c r="Q7" s="27"/>
      <c r="R7" s="27"/>
      <c r="S7" s="34"/>
      <c r="T7" s="34"/>
      <c r="U7" s="34"/>
    </row>
    <row r="8" ht="18" customHeight="1" spans="1:21">
      <c r="A8" s="36"/>
      <c r="B8" s="22" t="s">
        <v>217</v>
      </c>
      <c r="C8" s="23" t="s">
        <v>218</v>
      </c>
      <c r="D8" s="24"/>
      <c r="E8" s="24"/>
      <c r="F8" s="24"/>
      <c r="G8" s="25"/>
      <c r="H8" s="25"/>
      <c r="I8" s="31"/>
      <c r="J8" s="37"/>
      <c r="K8" s="37"/>
      <c r="L8" s="37"/>
      <c r="M8" s="24"/>
      <c r="N8" s="24"/>
      <c r="O8" s="24"/>
      <c r="P8" s="27"/>
      <c r="Q8" s="27"/>
      <c r="R8" s="27"/>
      <c r="S8" s="26"/>
      <c r="T8" s="26"/>
      <c r="U8" s="26"/>
    </row>
    <row r="9" ht="33" customHeight="1" spans="1:21">
      <c r="A9" s="21" t="s">
        <v>219</v>
      </c>
      <c r="B9" s="38" t="s">
        <v>220</v>
      </c>
      <c r="C9" s="21" t="s">
        <v>123</v>
      </c>
      <c r="D9" s="24"/>
      <c r="E9" s="24"/>
      <c r="F9" s="24"/>
      <c r="G9" s="25"/>
      <c r="H9" s="25"/>
      <c r="I9" s="25"/>
      <c r="J9" s="26"/>
      <c r="K9" s="26"/>
      <c r="L9" s="26"/>
      <c r="M9" s="24"/>
      <c r="N9" s="24"/>
      <c r="O9" s="24"/>
      <c r="P9" s="27"/>
      <c r="Q9" s="27"/>
      <c r="R9" s="27"/>
      <c r="S9" s="26"/>
      <c r="T9" s="26"/>
      <c r="U9" s="26"/>
    </row>
    <row r="10" ht="33" customHeight="1" spans="1:21">
      <c r="A10" s="28"/>
      <c r="B10" s="22" t="s">
        <v>221</v>
      </c>
      <c r="C10" s="21" t="s">
        <v>209</v>
      </c>
      <c r="D10" s="24"/>
      <c r="E10" s="24"/>
      <c r="F10" s="24"/>
      <c r="G10" s="25"/>
      <c r="H10" s="25"/>
      <c r="I10" s="25"/>
      <c r="J10" s="26"/>
      <c r="K10" s="26"/>
      <c r="L10" s="26"/>
      <c r="M10" s="24"/>
      <c r="N10" s="24"/>
      <c r="O10" s="24"/>
      <c r="P10" s="39"/>
      <c r="Q10" s="39"/>
      <c r="R10" s="39"/>
      <c r="S10" s="26"/>
      <c r="T10" s="26"/>
      <c r="U10" s="26"/>
    </row>
    <row r="11" ht="27" customHeight="1" spans="1:21">
      <c r="A11" s="36"/>
      <c r="B11" s="22" t="s">
        <v>222</v>
      </c>
      <c r="C11" s="23" t="s">
        <v>223</v>
      </c>
      <c r="D11" s="30"/>
      <c r="E11" s="30"/>
      <c r="F11" s="30"/>
      <c r="G11" s="35"/>
      <c r="H11" s="35"/>
      <c r="I11" s="35"/>
      <c r="J11" s="34"/>
      <c r="K11" s="34"/>
      <c r="L11" s="34"/>
      <c r="M11" s="24"/>
      <c r="N11" s="24"/>
      <c r="O11" s="24"/>
      <c r="P11" s="27"/>
      <c r="Q11" s="27"/>
      <c r="R11" s="27"/>
      <c r="S11" s="40"/>
      <c r="T11" s="40"/>
      <c r="U11" s="40"/>
    </row>
    <row r="12" ht="31" customHeight="1" spans="1:21">
      <c r="A12" s="41"/>
      <c r="B12" s="22" t="s">
        <v>224</v>
      </c>
      <c r="C12" s="23" t="s">
        <v>218</v>
      </c>
      <c r="D12" s="42"/>
      <c r="E12" s="42"/>
      <c r="F12" s="42"/>
      <c r="G12" s="43"/>
      <c r="H12" s="43"/>
      <c r="I12" s="43"/>
      <c r="J12" s="44"/>
      <c r="K12" s="44"/>
      <c r="L12" s="44"/>
      <c r="M12" s="24"/>
      <c r="N12" s="24"/>
      <c r="O12" s="24"/>
      <c r="P12" s="39"/>
      <c r="Q12" s="39"/>
      <c r="R12" s="39"/>
      <c r="S12" s="44"/>
      <c r="T12" s="44"/>
      <c r="U12" s="44"/>
    </row>
    <row r="13" ht="18" customHeight="1" spans="1:21">
      <c r="A13" s="21" t="s">
        <v>225</v>
      </c>
      <c r="B13" s="41" t="s">
        <v>226</v>
      </c>
      <c r="C13" s="22" t="s">
        <v>121</v>
      </c>
      <c r="D13" s="45"/>
      <c r="E13" s="45"/>
      <c r="F13" s="45"/>
      <c r="G13" s="46"/>
      <c r="H13" s="46"/>
      <c r="I13" s="46"/>
      <c r="J13" s="47"/>
      <c r="K13" s="47"/>
      <c r="L13" s="47"/>
      <c r="M13" s="24"/>
      <c r="N13" s="24"/>
      <c r="O13" s="24"/>
      <c r="P13" s="48"/>
      <c r="Q13" s="48"/>
      <c r="R13" s="48"/>
      <c r="S13" s="49"/>
      <c r="T13" s="49"/>
      <c r="U13" s="49"/>
    </row>
    <row r="14" ht="18" customHeight="1" spans="1:21">
      <c r="A14" s="50"/>
      <c r="B14" s="41" t="s">
        <v>227</v>
      </c>
      <c r="C14" s="22" t="s">
        <v>228</v>
      </c>
      <c r="D14" s="45"/>
      <c r="E14" s="45"/>
      <c r="F14" s="45"/>
      <c r="G14" s="46"/>
      <c r="H14" s="46"/>
      <c r="I14" s="51"/>
      <c r="J14" s="52"/>
      <c r="K14" s="53"/>
      <c r="L14" s="53"/>
      <c r="M14" s="54"/>
      <c r="N14" s="54"/>
      <c r="O14" s="54"/>
      <c r="P14" s="48"/>
      <c r="Q14" s="48"/>
      <c r="R14" s="55"/>
      <c r="S14" s="49"/>
      <c r="T14" s="49"/>
      <c r="U14" s="49"/>
    </row>
  </sheetData>
  <mergeCells count="14">
    <mergeCell ref="A2:E2"/>
    <mergeCell ref="D3:F3"/>
    <mergeCell ref="G3:I3"/>
    <mergeCell ref="J3:L3"/>
    <mergeCell ref="M3:O3"/>
    <mergeCell ref="P3:R3"/>
    <mergeCell ref="S3:U3"/>
    <mergeCell ref="D13:F13"/>
    <mergeCell ref="G13:I13"/>
    <mergeCell ref="J13:L13"/>
    <mergeCell ref="D14:F14"/>
    <mergeCell ref="A3:A4"/>
    <mergeCell ref="B3:B4"/>
    <mergeCell ref="C3:C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zoomScale="110" zoomScaleNormal="110" topLeftCell="A59" workbookViewId="0">
      <selection activeCell="F8" sqref="F8"/>
    </sheetView>
  </sheetViews>
  <sheetFormatPr defaultColWidth="9" defaultRowHeight="13.5"/>
  <cols>
    <col min="1" max="2" width="10.9083333333333" customWidth="1"/>
    <col min="3" max="3" width="11.7" customWidth="1"/>
    <col min="10" max="10" width="11.25" customWidth="1"/>
  </cols>
  <sheetData>
    <row r="1" ht="34" customHeight="1" spans="1:10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ht="27" customHeight="1" spans="1:10">
      <c r="A2" s="2" t="s">
        <v>230</v>
      </c>
      <c r="B2" s="2" t="s">
        <v>231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236</v>
      </c>
      <c r="H2" s="3" t="s">
        <v>237</v>
      </c>
      <c r="I2" s="3" t="s">
        <v>238</v>
      </c>
      <c r="J2" s="3" t="s">
        <v>239</v>
      </c>
    </row>
    <row r="3" ht="16.5" spans="1:10">
      <c r="A3" s="2" t="s">
        <v>240</v>
      </c>
      <c r="B3" s="4">
        <f>SUM(C3:J3)</f>
        <v>727</v>
      </c>
      <c r="C3" s="3">
        <v>246</v>
      </c>
      <c r="D3" s="3">
        <v>118</v>
      </c>
      <c r="E3" s="3">
        <v>154</v>
      </c>
      <c r="F3" s="3">
        <v>107</v>
      </c>
      <c r="G3" s="3">
        <v>65</v>
      </c>
      <c r="H3" s="3">
        <v>20</v>
      </c>
      <c r="I3" s="3">
        <v>12</v>
      </c>
      <c r="J3" s="3">
        <v>5</v>
      </c>
    </row>
    <row r="4" ht="16.5" spans="1:10">
      <c r="A4" s="5" t="s">
        <v>241</v>
      </c>
      <c r="B4" s="4"/>
      <c r="C4" s="3"/>
      <c r="D4" s="3"/>
      <c r="E4" s="3"/>
      <c r="F4" s="3"/>
      <c r="G4" s="3"/>
      <c r="H4" s="3"/>
      <c r="I4" s="3"/>
      <c r="J4" s="3"/>
    </row>
    <row r="5" ht="16.5" spans="1:10">
      <c r="A5" s="4" t="s">
        <v>242</v>
      </c>
      <c r="B5" s="4">
        <f>SUM(C5:J5)</f>
        <v>5</v>
      </c>
      <c r="C5" s="3">
        <v>3</v>
      </c>
      <c r="D5" s="3">
        <v>1</v>
      </c>
      <c r="E5" s="3">
        <v>0</v>
      </c>
      <c r="F5" s="3">
        <v>0</v>
      </c>
      <c r="G5" s="3">
        <v>0</v>
      </c>
      <c r="H5" s="3">
        <v>1</v>
      </c>
      <c r="I5" s="3">
        <v>0</v>
      </c>
      <c r="J5" s="3">
        <v>0</v>
      </c>
    </row>
    <row r="6" ht="16.5" spans="1:10">
      <c r="A6" s="4" t="s">
        <v>243</v>
      </c>
      <c r="B6" s="4">
        <f t="shared" ref="B6:B17" si="0">SUM(C6:J6)</f>
        <v>642</v>
      </c>
      <c r="C6" s="3">
        <v>223</v>
      </c>
      <c r="D6" s="3">
        <v>92</v>
      </c>
      <c r="E6" s="3">
        <v>138</v>
      </c>
      <c r="F6" s="3">
        <v>101</v>
      </c>
      <c r="G6" s="3">
        <v>56</v>
      </c>
      <c r="H6" s="3">
        <v>15</v>
      </c>
      <c r="I6" s="3">
        <v>12</v>
      </c>
      <c r="J6" s="3">
        <v>5</v>
      </c>
    </row>
    <row r="7" ht="16.5" spans="1:10">
      <c r="A7" s="4" t="s">
        <v>244</v>
      </c>
      <c r="B7" s="4">
        <f t="shared" si="0"/>
        <v>77</v>
      </c>
      <c r="C7" s="3">
        <v>20</v>
      </c>
      <c r="D7" s="3">
        <v>24</v>
      </c>
      <c r="E7" s="3">
        <v>15</v>
      </c>
      <c r="F7" s="3">
        <v>6</v>
      </c>
      <c r="G7" s="3">
        <v>9</v>
      </c>
      <c r="H7" s="3">
        <v>3</v>
      </c>
      <c r="I7" s="3">
        <v>0</v>
      </c>
      <c r="J7" s="3">
        <v>0</v>
      </c>
    </row>
    <row r="8" ht="16.5" spans="1:10">
      <c r="A8" s="4" t="s">
        <v>245</v>
      </c>
      <c r="B8" s="4">
        <f t="shared" si="0"/>
        <v>3</v>
      </c>
      <c r="C8" s="3">
        <v>0</v>
      </c>
      <c r="D8" s="3">
        <v>1</v>
      </c>
      <c r="E8" s="3">
        <v>1</v>
      </c>
      <c r="F8" s="3">
        <v>0</v>
      </c>
      <c r="G8" s="3">
        <v>0</v>
      </c>
      <c r="H8" s="3">
        <v>1</v>
      </c>
      <c r="I8" s="3">
        <v>0</v>
      </c>
      <c r="J8" s="3">
        <v>0</v>
      </c>
    </row>
    <row r="9" ht="16.5" spans="1:10">
      <c r="A9" s="2" t="s">
        <v>246</v>
      </c>
      <c r="B9" s="4"/>
      <c r="C9" s="3"/>
      <c r="D9" s="3"/>
      <c r="E9" s="3"/>
      <c r="F9" s="3"/>
      <c r="G9" s="3"/>
      <c r="H9" s="3"/>
      <c r="I9" s="3"/>
      <c r="J9" s="3"/>
    </row>
    <row r="10" ht="16.5" spans="1:10">
      <c r="A10" s="4" t="s">
        <v>247</v>
      </c>
      <c r="B10" s="4">
        <f t="shared" si="0"/>
        <v>39</v>
      </c>
      <c r="C10" s="3">
        <v>1</v>
      </c>
      <c r="D10" s="3">
        <v>0</v>
      </c>
      <c r="E10" s="3">
        <v>0</v>
      </c>
      <c r="F10" s="3">
        <v>4</v>
      </c>
      <c r="G10" s="3">
        <v>16</v>
      </c>
      <c r="H10" s="3">
        <v>7</v>
      </c>
      <c r="I10" s="3">
        <v>10</v>
      </c>
      <c r="J10" s="3">
        <v>1</v>
      </c>
    </row>
    <row r="11" ht="16.5" spans="1:10">
      <c r="A11" s="4" t="s">
        <v>248</v>
      </c>
      <c r="B11" s="4">
        <f t="shared" si="0"/>
        <v>98</v>
      </c>
      <c r="C11" s="3">
        <v>5</v>
      </c>
      <c r="D11" s="3">
        <v>2</v>
      </c>
      <c r="E11" s="3">
        <v>8</v>
      </c>
      <c r="F11" s="3">
        <v>41</v>
      </c>
      <c r="G11" s="3">
        <v>33</v>
      </c>
      <c r="H11" s="3">
        <v>7</v>
      </c>
      <c r="I11" s="3">
        <v>1</v>
      </c>
      <c r="J11" s="3">
        <v>1</v>
      </c>
    </row>
    <row r="12" ht="16.5" spans="1:10">
      <c r="A12" s="4" t="s">
        <v>249</v>
      </c>
      <c r="B12" s="4">
        <f t="shared" si="0"/>
        <v>451</v>
      </c>
      <c r="C12" s="3">
        <v>159</v>
      </c>
      <c r="D12" s="3">
        <v>79</v>
      </c>
      <c r="E12" s="3">
        <v>131</v>
      </c>
      <c r="F12" s="3">
        <v>58</v>
      </c>
      <c r="G12" s="3">
        <v>15</v>
      </c>
      <c r="H12" s="3">
        <v>6</v>
      </c>
      <c r="I12" s="3">
        <v>1</v>
      </c>
      <c r="J12" s="3">
        <v>2</v>
      </c>
    </row>
    <row r="13" ht="16.5" spans="1:10">
      <c r="A13" s="4" t="s">
        <v>250</v>
      </c>
      <c r="B13" s="4">
        <f t="shared" si="0"/>
        <v>139</v>
      </c>
      <c r="C13" s="3">
        <v>81</v>
      </c>
      <c r="D13" s="3">
        <v>37</v>
      </c>
      <c r="E13" s="3">
        <v>15</v>
      </c>
      <c r="F13" s="3">
        <v>4</v>
      </c>
      <c r="G13" s="3">
        <v>1</v>
      </c>
      <c r="H13" s="3">
        <v>0</v>
      </c>
      <c r="I13" s="3">
        <v>0</v>
      </c>
      <c r="J13" s="3">
        <v>1</v>
      </c>
    </row>
    <row r="14" ht="16.5" spans="1:10">
      <c r="A14" s="4" t="s">
        <v>251</v>
      </c>
      <c r="B14" s="4">
        <f t="shared" si="0"/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ht="49.5" spans="1:10">
      <c r="A15" s="6" t="s">
        <v>252</v>
      </c>
      <c r="B15" s="4"/>
      <c r="C15" s="4"/>
      <c r="D15" s="4"/>
      <c r="E15" s="4"/>
      <c r="F15" s="4"/>
      <c r="G15" s="4"/>
      <c r="H15" s="4"/>
      <c r="I15" s="4"/>
      <c r="J15" s="4"/>
    </row>
    <row r="16" ht="16.5" spans="1:10">
      <c r="A16" s="4" t="s">
        <v>253</v>
      </c>
      <c r="B16" s="4">
        <f t="shared" si="0"/>
        <v>234</v>
      </c>
      <c r="C16" s="4">
        <v>40</v>
      </c>
      <c r="D16" s="4">
        <v>48</v>
      </c>
      <c r="E16" s="4">
        <v>49</v>
      </c>
      <c r="F16" s="4">
        <v>43</v>
      </c>
      <c r="G16" s="4">
        <v>38</v>
      </c>
      <c r="H16" s="4">
        <v>12</v>
      </c>
      <c r="I16" s="4">
        <v>2</v>
      </c>
      <c r="J16" s="4">
        <v>2</v>
      </c>
    </row>
    <row r="17" ht="16.5" spans="1:10">
      <c r="A17" s="4" t="s">
        <v>254</v>
      </c>
      <c r="B17" s="4">
        <f t="shared" si="0"/>
        <v>493</v>
      </c>
      <c r="C17" s="4">
        <v>206</v>
      </c>
      <c r="D17" s="4">
        <v>70</v>
      </c>
      <c r="E17" s="4">
        <v>105</v>
      </c>
      <c r="F17" s="4">
        <v>64</v>
      </c>
      <c r="G17" s="4">
        <v>27</v>
      </c>
      <c r="H17" s="4">
        <v>8</v>
      </c>
      <c r="I17" s="4">
        <v>10</v>
      </c>
      <c r="J17" s="4">
        <v>3</v>
      </c>
    </row>
    <row r="18" ht="16.5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4.25" spans="1:10">
      <c r="C19" s="7" t="s">
        <v>255</v>
      </c>
      <c r="D19" s="7" t="s">
        <v>256</v>
      </c>
      <c r="E19" s="7" t="s">
        <v>257</v>
      </c>
      <c r="F19" s="7" t="s">
        <v>258</v>
      </c>
      <c r="G19" s="7" t="s">
        <v>258</v>
      </c>
      <c r="H19" s="7" t="s">
        <v>258</v>
      </c>
      <c r="I19" s="7" t="s">
        <v>258</v>
      </c>
      <c r="J19" s="7" t="s">
        <v>259</v>
      </c>
    </row>
    <row r="22" ht="27.75" spans="1:10">
      <c r="A22" s="1" t="s">
        <v>260</v>
      </c>
      <c r="B22" s="1"/>
      <c r="C22" s="1"/>
      <c r="D22" s="1"/>
      <c r="E22" s="1"/>
      <c r="F22" s="1"/>
      <c r="G22" s="1"/>
      <c r="H22" s="1"/>
      <c r="I22" s="1"/>
      <c r="J22" s="1"/>
    </row>
    <row r="23" ht="16.5" spans="1:10">
      <c r="A23" s="2" t="s">
        <v>230</v>
      </c>
      <c r="B23" s="2" t="s">
        <v>231</v>
      </c>
      <c r="C23" s="3" t="s">
        <v>232</v>
      </c>
      <c r="D23" s="3" t="s">
        <v>233</v>
      </c>
      <c r="E23" s="3" t="s">
        <v>234</v>
      </c>
      <c r="F23" s="3" t="s">
        <v>235</v>
      </c>
      <c r="G23" s="3" t="s">
        <v>236</v>
      </c>
      <c r="H23" s="3" t="s">
        <v>237</v>
      </c>
      <c r="I23" s="3" t="s">
        <v>238</v>
      </c>
      <c r="J23" s="3" t="s">
        <v>239</v>
      </c>
    </row>
    <row r="24" ht="16.5" spans="1:10">
      <c r="A24" s="2" t="s">
        <v>240</v>
      </c>
      <c r="B24" s="2">
        <v>512</v>
      </c>
      <c r="C24" s="3">
        <v>52</v>
      </c>
      <c r="D24" s="3">
        <v>145</v>
      </c>
      <c r="E24" s="3">
        <v>151</v>
      </c>
      <c r="F24" s="3">
        <v>82</v>
      </c>
      <c r="G24" s="3">
        <v>32</v>
      </c>
      <c r="H24" s="3">
        <v>34</v>
      </c>
      <c r="I24" s="3">
        <v>16</v>
      </c>
      <c r="J24" s="3">
        <v>0</v>
      </c>
    </row>
    <row r="25" ht="16.5" spans="1:10">
      <c r="A25" s="5" t="s">
        <v>241</v>
      </c>
      <c r="B25" s="2"/>
      <c r="C25" s="3"/>
      <c r="D25" s="3"/>
      <c r="E25" s="3"/>
      <c r="F25" s="3"/>
      <c r="G25" s="3"/>
      <c r="H25" s="3"/>
      <c r="I25" s="3"/>
      <c r="J25" s="3"/>
    </row>
    <row r="26" ht="16.5" spans="1:10">
      <c r="A26" s="4" t="s">
        <v>242</v>
      </c>
      <c r="B26" s="2">
        <f t="shared" ref="B25:B39" si="1">SUM(C26:J26)</f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</row>
    <row r="27" ht="16.5" spans="1:10">
      <c r="A27" s="4" t="s">
        <v>243</v>
      </c>
      <c r="B27" s="2">
        <f t="shared" si="1"/>
        <v>485</v>
      </c>
      <c r="C27" s="3">
        <v>48</v>
      </c>
      <c r="D27" s="3">
        <v>140</v>
      </c>
      <c r="E27" s="3">
        <v>142</v>
      </c>
      <c r="F27" s="3">
        <v>80</v>
      </c>
      <c r="G27" s="3">
        <v>29</v>
      </c>
      <c r="H27" s="3">
        <v>33</v>
      </c>
      <c r="I27" s="3">
        <v>13</v>
      </c>
      <c r="J27" s="3"/>
    </row>
    <row r="28" ht="16.5" spans="1:10">
      <c r="A28" s="4" t="s">
        <v>244</v>
      </c>
      <c r="B28" s="2">
        <f t="shared" si="1"/>
        <v>27</v>
      </c>
      <c r="C28" s="3">
        <v>4</v>
      </c>
      <c r="D28" s="3">
        <v>5</v>
      </c>
      <c r="E28" s="3">
        <v>9</v>
      </c>
      <c r="F28" s="3">
        <v>2</v>
      </c>
      <c r="G28" s="3">
        <v>3</v>
      </c>
      <c r="H28" s="3">
        <v>1</v>
      </c>
      <c r="I28" s="3">
        <v>3</v>
      </c>
      <c r="J28" s="3"/>
    </row>
    <row r="29" ht="16.5" spans="1:10">
      <c r="A29" s="4" t="s">
        <v>245</v>
      </c>
      <c r="B29" s="2">
        <f t="shared" si="1"/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/>
    </row>
    <row r="30" ht="16.5" spans="1:10">
      <c r="A30" s="4" t="s">
        <v>261</v>
      </c>
      <c r="B30" s="2">
        <f t="shared" si="1"/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/>
    </row>
    <row r="31" ht="16.5" spans="1:10">
      <c r="A31" s="2" t="s">
        <v>246</v>
      </c>
      <c r="B31" s="2"/>
      <c r="C31" s="3"/>
      <c r="D31" s="3"/>
      <c r="E31" s="3"/>
      <c r="F31" s="3"/>
      <c r="G31" s="3"/>
      <c r="H31" s="3"/>
      <c r="I31" s="3"/>
      <c r="J31" s="3"/>
    </row>
    <row r="32" ht="16.5" spans="1:10">
      <c r="A32" s="4" t="s">
        <v>247</v>
      </c>
      <c r="B32" s="2">
        <f t="shared" si="1"/>
        <v>22</v>
      </c>
      <c r="C32" s="3">
        <v>0</v>
      </c>
      <c r="D32" s="3">
        <v>0</v>
      </c>
      <c r="E32" s="3">
        <v>1</v>
      </c>
      <c r="F32" s="3">
        <v>1</v>
      </c>
      <c r="G32" s="3">
        <v>2</v>
      </c>
      <c r="H32" s="3">
        <v>9</v>
      </c>
      <c r="I32" s="3">
        <v>9</v>
      </c>
      <c r="J32" s="3"/>
    </row>
    <row r="33" ht="16.5" spans="1:10">
      <c r="A33" s="4" t="s">
        <v>248</v>
      </c>
      <c r="B33" s="2">
        <f t="shared" si="1"/>
        <v>67</v>
      </c>
      <c r="C33" s="3">
        <v>0</v>
      </c>
      <c r="D33" s="3">
        <v>2</v>
      </c>
      <c r="E33" s="3">
        <v>2</v>
      </c>
      <c r="F33" s="3">
        <v>26</v>
      </c>
      <c r="G33" s="3">
        <v>15</v>
      </c>
      <c r="H33" s="3">
        <v>16</v>
      </c>
      <c r="I33" s="3">
        <v>6</v>
      </c>
      <c r="J33" s="3"/>
    </row>
    <row r="34" ht="16.5" spans="1:10">
      <c r="A34" s="4" t="s">
        <v>249</v>
      </c>
      <c r="B34" s="2">
        <f t="shared" si="1"/>
        <v>221</v>
      </c>
      <c r="C34" s="3">
        <v>1</v>
      </c>
      <c r="D34" s="3">
        <v>44</v>
      </c>
      <c r="E34" s="3">
        <v>106</v>
      </c>
      <c r="F34" s="3">
        <v>47</v>
      </c>
      <c r="G34" s="3">
        <v>13</v>
      </c>
      <c r="H34" s="3">
        <v>9</v>
      </c>
      <c r="I34" s="3">
        <v>1</v>
      </c>
      <c r="J34" s="3"/>
    </row>
    <row r="35" ht="16.5" spans="1:10">
      <c r="A35" s="4" t="s">
        <v>250</v>
      </c>
      <c r="B35" s="2">
        <f t="shared" si="1"/>
        <v>202</v>
      </c>
      <c r="C35" s="3">
        <v>51</v>
      </c>
      <c r="D35" s="3">
        <v>99</v>
      </c>
      <c r="E35" s="3">
        <v>42</v>
      </c>
      <c r="F35" s="3">
        <v>8</v>
      </c>
      <c r="G35" s="3">
        <v>2</v>
      </c>
      <c r="H35" s="3">
        <v>0</v>
      </c>
      <c r="I35" s="3">
        <v>0</v>
      </c>
      <c r="J35" s="3"/>
    </row>
    <row r="36" ht="16.5" spans="1:10">
      <c r="A36" s="4" t="s">
        <v>251</v>
      </c>
      <c r="B36" s="2">
        <f t="shared" si="1"/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</row>
    <row r="37" ht="49.5" spans="1:10">
      <c r="A37" s="6" t="s">
        <v>252</v>
      </c>
      <c r="B37" s="2"/>
      <c r="C37" s="4"/>
      <c r="D37" s="4"/>
      <c r="E37" s="4"/>
      <c r="F37" s="4"/>
      <c r="G37" s="4"/>
      <c r="H37" s="4"/>
      <c r="I37" s="4"/>
      <c r="J37" s="4"/>
    </row>
    <row r="38" ht="16.5" spans="1:10">
      <c r="A38" s="4" t="s">
        <v>253</v>
      </c>
      <c r="B38" s="2">
        <v>135</v>
      </c>
      <c r="C38" s="4">
        <v>16</v>
      </c>
      <c r="D38" s="4">
        <v>26</v>
      </c>
      <c r="E38" s="4">
        <v>31</v>
      </c>
      <c r="F38" s="4">
        <v>28</v>
      </c>
      <c r="G38" s="4">
        <v>7</v>
      </c>
      <c r="H38" s="4">
        <v>16</v>
      </c>
      <c r="I38" s="4">
        <v>11</v>
      </c>
      <c r="J38" s="4"/>
    </row>
    <row r="39" ht="16.5" spans="1:10">
      <c r="A39" s="4" t="s">
        <v>254</v>
      </c>
      <c r="B39" s="2">
        <f t="shared" si="1"/>
        <v>377</v>
      </c>
      <c r="C39" s="4">
        <v>36</v>
      </c>
      <c r="D39" s="4">
        <v>119</v>
      </c>
      <c r="E39" s="4">
        <v>120</v>
      </c>
      <c r="F39" s="4">
        <v>54</v>
      </c>
      <c r="G39" s="4">
        <v>25</v>
      </c>
      <c r="H39" s="4">
        <v>18</v>
      </c>
      <c r="I39" s="4">
        <v>5</v>
      </c>
      <c r="J39" s="4"/>
    </row>
    <row r="40" ht="16.5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4.25" spans="1:10">
      <c r="B41" s="7" t="s">
        <v>262</v>
      </c>
      <c r="C41" s="7" t="s">
        <v>263</v>
      </c>
      <c r="D41" s="7" t="s">
        <v>255</v>
      </c>
      <c r="E41" s="7" t="s">
        <v>258</v>
      </c>
      <c r="F41" s="7" t="s">
        <v>258</v>
      </c>
      <c r="G41" s="7" t="s">
        <v>258</v>
      </c>
      <c r="H41" s="7" t="s">
        <v>258</v>
      </c>
      <c r="I41" s="7" t="s">
        <v>258</v>
      </c>
      <c r="J41" s="7" t="s">
        <v>258</v>
      </c>
    </row>
    <row r="43" ht="27.75" spans="1:10">
      <c r="A43" s="1" t="s">
        <v>264</v>
      </c>
      <c r="B43" s="1"/>
      <c r="C43" s="1"/>
      <c r="D43" s="1"/>
      <c r="E43" s="1"/>
      <c r="F43" s="1"/>
      <c r="G43" s="1"/>
      <c r="H43" s="1"/>
      <c r="I43" s="1"/>
      <c r="J43" s="1"/>
    </row>
    <row r="44" ht="16.5" spans="1:10">
      <c r="A44" s="2" t="s">
        <v>230</v>
      </c>
      <c r="B44" s="2" t="s">
        <v>231</v>
      </c>
      <c r="C44" s="3" t="s">
        <v>232</v>
      </c>
      <c r="D44" s="3" t="s">
        <v>233</v>
      </c>
      <c r="E44" s="3" t="s">
        <v>234</v>
      </c>
      <c r="F44" s="3" t="s">
        <v>235</v>
      </c>
      <c r="G44" s="3" t="s">
        <v>236</v>
      </c>
      <c r="H44" s="3" t="s">
        <v>237</v>
      </c>
      <c r="I44" s="3" t="s">
        <v>238</v>
      </c>
      <c r="J44" s="3" t="s">
        <v>239</v>
      </c>
    </row>
    <row r="45" ht="16.5" spans="1:10">
      <c r="A45" s="2" t="s">
        <v>240</v>
      </c>
      <c r="B45" s="2">
        <f>SUM(C45:J45)</f>
        <v>326</v>
      </c>
      <c r="C45" s="3">
        <v>2</v>
      </c>
      <c r="D45" s="3">
        <v>30</v>
      </c>
      <c r="E45" s="3">
        <v>82</v>
      </c>
      <c r="F45" s="3">
        <v>94</v>
      </c>
      <c r="G45" s="3">
        <v>70</v>
      </c>
      <c r="H45" s="3">
        <v>42</v>
      </c>
      <c r="I45" s="3">
        <v>6</v>
      </c>
      <c r="J45" s="3">
        <v>0</v>
      </c>
    </row>
    <row r="46" ht="16.5" spans="1:10">
      <c r="A46" s="5" t="s">
        <v>241</v>
      </c>
      <c r="B46" s="2"/>
      <c r="C46" s="3"/>
      <c r="D46" s="3"/>
      <c r="E46" s="3"/>
      <c r="F46" s="3"/>
      <c r="G46" s="3"/>
      <c r="H46" s="3"/>
      <c r="I46" s="3"/>
      <c r="J46" s="3"/>
    </row>
    <row r="47" ht="16.5" spans="1:10">
      <c r="A47" s="4" t="s">
        <v>242</v>
      </c>
      <c r="B47" s="2">
        <f t="shared" ref="B46:B59" si="2">SUM(C47:J47)</f>
        <v>4</v>
      </c>
      <c r="C47" s="3">
        <v>0</v>
      </c>
      <c r="D47" s="3">
        <v>0</v>
      </c>
      <c r="E47" s="3">
        <v>0</v>
      </c>
      <c r="F47" s="3">
        <v>1</v>
      </c>
      <c r="G47" s="3">
        <v>2</v>
      </c>
      <c r="H47" s="3">
        <v>1</v>
      </c>
      <c r="I47" s="3">
        <v>0</v>
      </c>
      <c r="J47" s="3">
        <v>0</v>
      </c>
    </row>
    <row r="48" ht="16.5" spans="1:10">
      <c r="A48" s="4" t="s">
        <v>243</v>
      </c>
      <c r="B48" s="2">
        <f t="shared" si="2"/>
        <v>257</v>
      </c>
      <c r="C48" s="3">
        <v>1</v>
      </c>
      <c r="D48" s="3">
        <v>18</v>
      </c>
      <c r="E48" s="3">
        <v>69</v>
      </c>
      <c r="F48" s="3">
        <v>79</v>
      </c>
      <c r="G48" s="3">
        <v>50</v>
      </c>
      <c r="H48" s="3">
        <v>34</v>
      </c>
      <c r="I48" s="3">
        <v>6</v>
      </c>
      <c r="J48" s="3">
        <v>0</v>
      </c>
    </row>
    <row r="49" ht="16.5" spans="1:10">
      <c r="A49" s="4" t="s">
        <v>244</v>
      </c>
      <c r="B49" s="2">
        <f t="shared" si="2"/>
        <v>65</v>
      </c>
      <c r="C49" s="3">
        <v>1</v>
      </c>
      <c r="D49" s="3">
        <v>12</v>
      </c>
      <c r="E49" s="3">
        <v>13</v>
      </c>
      <c r="F49" s="3">
        <v>11</v>
      </c>
      <c r="G49" s="3">
        <v>17</v>
      </c>
      <c r="H49" s="3">
        <v>5</v>
      </c>
      <c r="I49" s="3">
        <v>0</v>
      </c>
      <c r="J49" s="3">
        <v>6</v>
      </c>
    </row>
    <row r="50" ht="16.5" spans="1:10">
      <c r="A50" s="4" t="s">
        <v>245</v>
      </c>
      <c r="B50" s="2">
        <f t="shared" si="2"/>
        <v>6</v>
      </c>
      <c r="C50" s="3">
        <v>0</v>
      </c>
      <c r="D50" s="3">
        <v>0</v>
      </c>
      <c r="E50" s="3">
        <v>0</v>
      </c>
      <c r="F50" s="3">
        <v>3</v>
      </c>
      <c r="G50" s="3">
        <v>1</v>
      </c>
      <c r="H50" s="3">
        <v>2</v>
      </c>
      <c r="I50" s="3">
        <v>0</v>
      </c>
      <c r="J50" s="3">
        <v>0</v>
      </c>
    </row>
    <row r="51" ht="16.5" spans="1:10">
      <c r="A51" s="2" t="s">
        <v>246</v>
      </c>
      <c r="B51" s="2"/>
      <c r="C51" s="3"/>
      <c r="D51" s="3"/>
      <c r="E51" s="3"/>
      <c r="F51" s="3"/>
      <c r="G51" s="3"/>
      <c r="H51" s="3"/>
      <c r="I51" s="3"/>
      <c r="J51" s="3"/>
    </row>
    <row r="52" ht="16.5" spans="1:10">
      <c r="A52" s="4" t="s">
        <v>247</v>
      </c>
      <c r="B52" s="2">
        <f t="shared" si="2"/>
        <v>93</v>
      </c>
      <c r="C52" s="3">
        <v>0</v>
      </c>
      <c r="D52" s="3">
        <v>0</v>
      </c>
      <c r="E52" s="3">
        <v>0</v>
      </c>
      <c r="F52" s="3">
        <v>13</v>
      </c>
      <c r="G52" s="3">
        <v>40</v>
      </c>
      <c r="H52" s="3">
        <v>34</v>
      </c>
      <c r="I52" s="3">
        <v>6</v>
      </c>
      <c r="J52" s="3">
        <v>0</v>
      </c>
    </row>
    <row r="53" ht="16.5" spans="1:10">
      <c r="A53" s="4" t="s">
        <v>248</v>
      </c>
      <c r="B53" s="2">
        <f t="shared" si="2"/>
        <v>139</v>
      </c>
      <c r="C53" s="3">
        <v>0</v>
      </c>
      <c r="D53" s="3">
        <v>0</v>
      </c>
      <c r="E53" s="3">
        <v>39</v>
      </c>
      <c r="F53" s="3">
        <v>65</v>
      </c>
      <c r="G53" s="3">
        <v>28</v>
      </c>
      <c r="H53" s="3">
        <v>7</v>
      </c>
      <c r="I53" s="3">
        <v>0</v>
      </c>
      <c r="J53" s="3">
        <v>0</v>
      </c>
    </row>
    <row r="54" ht="16.5" spans="1:10">
      <c r="A54" s="4" t="s">
        <v>249</v>
      </c>
      <c r="B54" s="2">
        <f t="shared" si="2"/>
        <v>87</v>
      </c>
      <c r="C54" s="3">
        <v>2</v>
      </c>
      <c r="D54" s="3">
        <v>27</v>
      </c>
      <c r="E54" s="3">
        <v>40</v>
      </c>
      <c r="F54" s="3">
        <v>16</v>
      </c>
      <c r="G54" s="3">
        <v>1</v>
      </c>
      <c r="H54" s="3">
        <v>1</v>
      </c>
      <c r="I54" s="3">
        <v>0</v>
      </c>
      <c r="J54" s="3">
        <v>0</v>
      </c>
    </row>
    <row r="55" ht="16.5" spans="1:10">
      <c r="A55" s="4" t="s">
        <v>250</v>
      </c>
      <c r="B55" s="2">
        <f t="shared" si="2"/>
        <v>6</v>
      </c>
      <c r="C55" s="3">
        <v>0</v>
      </c>
      <c r="D55" s="3">
        <v>2</v>
      </c>
      <c r="E55" s="3">
        <v>3</v>
      </c>
      <c r="F55" s="3">
        <v>0</v>
      </c>
      <c r="G55" s="3">
        <v>1</v>
      </c>
      <c r="H55" s="3">
        <v>0</v>
      </c>
      <c r="I55" s="3">
        <v>0</v>
      </c>
      <c r="J55" s="3">
        <v>0</v>
      </c>
    </row>
    <row r="56" ht="16.5" spans="1:10">
      <c r="A56" s="4" t="s">
        <v>251</v>
      </c>
      <c r="B56" s="2">
        <f t="shared" si="2"/>
        <v>1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</row>
    <row r="57" ht="49.5" spans="1:10">
      <c r="A57" s="6" t="s">
        <v>252</v>
      </c>
      <c r="B57" s="2"/>
      <c r="C57" s="4"/>
      <c r="D57" s="4"/>
      <c r="E57" s="4"/>
      <c r="F57" s="4"/>
      <c r="G57" s="4"/>
      <c r="H57" s="4"/>
      <c r="I57" s="4"/>
      <c r="J57" s="4"/>
    </row>
    <row r="58" ht="16.5" spans="1:10">
      <c r="A58" s="4" t="s">
        <v>253</v>
      </c>
      <c r="B58" s="2">
        <f t="shared" si="2"/>
        <v>114</v>
      </c>
      <c r="C58" s="4">
        <v>1</v>
      </c>
      <c r="D58" s="4">
        <v>5</v>
      </c>
      <c r="E58" s="4">
        <v>15</v>
      </c>
      <c r="F58" s="4">
        <v>30</v>
      </c>
      <c r="G58" s="4">
        <v>44</v>
      </c>
      <c r="H58" s="4">
        <v>16</v>
      </c>
      <c r="I58" s="4">
        <v>3</v>
      </c>
      <c r="J58" s="4">
        <v>0</v>
      </c>
    </row>
    <row r="59" ht="16.5" spans="1:10">
      <c r="A59" s="4" t="s">
        <v>254</v>
      </c>
      <c r="B59" s="2">
        <f t="shared" si="2"/>
        <v>212</v>
      </c>
      <c r="C59" s="4">
        <v>1</v>
      </c>
      <c r="D59" s="4">
        <v>25</v>
      </c>
      <c r="E59" s="4">
        <v>67</v>
      </c>
      <c r="F59" s="4">
        <v>64</v>
      </c>
      <c r="G59" s="4">
        <v>26</v>
      </c>
      <c r="H59" s="4">
        <v>26</v>
      </c>
      <c r="I59" s="4">
        <v>3</v>
      </c>
      <c r="J59" s="4">
        <v>0</v>
      </c>
    </row>
    <row r="61" ht="14.25" spans="1:10">
      <c r="C61" s="7" t="s">
        <v>259</v>
      </c>
      <c r="D61" s="7" t="s">
        <v>265</v>
      </c>
      <c r="E61" s="7" t="s">
        <v>255</v>
      </c>
      <c r="F61" s="7" t="s">
        <v>258</v>
      </c>
      <c r="G61" s="7" t="s">
        <v>258</v>
      </c>
      <c r="H61" s="7" t="s">
        <v>258</v>
      </c>
      <c r="I61" s="7" t="s">
        <v>258</v>
      </c>
    </row>
    <row r="64" ht="27.75" spans="1:10">
      <c r="A64" s="1" t="s">
        <v>266</v>
      </c>
      <c r="B64" s="1"/>
      <c r="C64" s="1"/>
      <c r="D64" s="1"/>
      <c r="E64" s="1"/>
      <c r="F64" s="1"/>
      <c r="G64" s="1"/>
      <c r="H64" s="1"/>
      <c r="I64" s="1"/>
      <c r="J64" s="1"/>
    </row>
    <row r="65" ht="16.5" spans="1:10">
      <c r="A65" s="2" t="s">
        <v>230</v>
      </c>
      <c r="B65" s="2" t="s">
        <v>231</v>
      </c>
      <c r="C65" s="3" t="s">
        <v>232</v>
      </c>
      <c r="D65" s="3" t="s">
        <v>233</v>
      </c>
      <c r="E65" s="3" t="s">
        <v>234</v>
      </c>
      <c r="F65" s="3" t="s">
        <v>235</v>
      </c>
      <c r="G65" s="3" t="s">
        <v>236</v>
      </c>
      <c r="H65" s="3" t="s">
        <v>237</v>
      </c>
      <c r="I65" s="3" t="s">
        <v>238</v>
      </c>
      <c r="J65" s="3" t="s">
        <v>239</v>
      </c>
    </row>
    <row r="66" ht="16.5" spans="1:10">
      <c r="A66" s="2" t="s">
        <v>240</v>
      </c>
      <c r="B66" s="2">
        <f>SUM(C66:J66)</f>
        <v>158</v>
      </c>
      <c r="C66" s="3">
        <v>25</v>
      </c>
      <c r="D66" s="3">
        <v>56</v>
      </c>
      <c r="E66" s="3">
        <v>40</v>
      </c>
      <c r="F66" s="3">
        <v>13</v>
      </c>
      <c r="G66" s="3">
        <v>15</v>
      </c>
      <c r="H66" s="3">
        <v>4</v>
      </c>
      <c r="I66" s="3">
        <v>3</v>
      </c>
      <c r="J66" s="3">
        <v>2</v>
      </c>
    </row>
    <row r="67" ht="16.5" spans="1:10">
      <c r="A67" s="5" t="s">
        <v>241</v>
      </c>
      <c r="B67" s="2"/>
      <c r="C67" s="3"/>
      <c r="D67" s="3"/>
      <c r="E67" s="3"/>
      <c r="F67" s="3"/>
      <c r="G67" s="3"/>
      <c r="H67" s="3"/>
      <c r="I67" s="3"/>
      <c r="J67" s="3"/>
    </row>
    <row r="68" ht="16.5" spans="1:10">
      <c r="A68" s="4" t="s">
        <v>242</v>
      </c>
      <c r="B68" s="2">
        <f t="shared" ref="B67:B80" si="3">SUM(C68:J68)</f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</row>
    <row r="69" ht="16.5" spans="1:10">
      <c r="A69" s="4" t="s">
        <v>243</v>
      </c>
      <c r="B69" s="2">
        <f t="shared" si="3"/>
        <v>25</v>
      </c>
      <c r="C69" s="3">
        <v>6</v>
      </c>
      <c r="D69" s="3">
        <v>5</v>
      </c>
      <c r="E69" s="3">
        <v>3</v>
      </c>
      <c r="F69" s="3">
        <v>4</v>
      </c>
      <c r="G69" s="3">
        <v>3</v>
      </c>
      <c r="H69" s="3">
        <v>2</v>
      </c>
      <c r="I69" s="3">
        <v>2</v>
      </c>
      <c r="J69" s="3">
        <v>0</v>
      </c>
    </row>
    <row r="70" ht="16.5" spans="1:10">
      <c r="A70" s="4" t="s">
        <v>244</v>
      </c>
      <c r="B70" s="2">
        <f t="shared" si="3"/>
        <v>107</v>
      </c>
      <c r="C70" s="3">
        <v>17</v>
      </c>
      <c r="D70" s="3">
        <v>42</v>
      </c>
      <c r="E70" s="3">
        <v>30</v>
      </c>
      <c r="F70" s="3">
        <v>9</v>
      </c>
      <c r="G70" s="3">
        <v>7</v>
      </c>
      <c r="H70" s="3">
        <v>0</v>
      </c>
      <c r="I70" s="3">
        <v>1</v>
      </c>
      <c r="J70" s="3">
        <v>1</v>
      </c>
    </row>
    <row r="71" ht="16.5" spans="1:10">
      <c r="A71" s="4" t="s">
        <v>245</v>
      </c>
      <c r="B71" s="2">
        <f t="shared" si="3"/>
        <v>25</v>
      </c>
      <c r="C71" s="3">
        <v>1</v>
      </c>
      <c r="D71" s="3">
        <v>9</v>
      </c>
      <c r="E71" s="3">
        <v>7</v>
      </c>
      <c r="F71" s="3">
        <v>0</v>
      </c>
      <c r="G71" s="3">
        <v>5</v>
      </c>
      <c r="H71" s="3">
        <v>2</v>
      </c>
      <c r="I71" s="3">
        <v>0</v>
      </c>
      <c r="J71" s="3">
        <v>1</v>
      </c>
    </row>
    <row r="72" ht="16.5" spans="1:10">
      <c r="A72" s="2" t="s">
        <v>246</v>
      </c>
      <c r="B72" s="2"/>
      <c r="C72" s="3"/>
      <c r="D72" s="3"/>
      <c r="E72" s="3"/>
      <c r="F72" s="3"/>
      <c r="G72" s="3"/>
      <c r="H72" s="3"/>
      <c r="I72" s="3"/>
      <c r="J72" s="3"/>
    </row>
    <row r="73" ht="16.5" spans="1:10">
      <c r="A73" s="4" t="s">
        <v>247</v>
      </c>
      <c r="B73" s="2">
        <f t="shared" si="3"/>
        <v>15</v>
      </c>
      <c r="C73" s="3">
        <v>0</v>
      </c>
      <c r="D73" s="3">
        <v>1</v>
      </c>
      <c r="E73" s="3">
        <v>0</v>
      </c>
      <c r="F73" s="3">
        <v>1</v>
      </c>
      <c r="G73" s="3">
        <v>6</v>
      </c>
      <c r="H73" s="3">
        <v>2</v>
      </c>
      <c r="I73" s="3">
        <v>3</v>
      </c>
      <c r="J73" s="3">
        <v>2</v>
      </c>
    </row>
    <row r="74" ht="16.5" spans="1:10">
      <c r="A74" s="4" t="s">
        <v>248</v>
      </c>
      <c r="B74" s="2">
        <f t="shared" si="3"/>
        <v>36</v>
      </c>
      <c r="C74" s="3">
        <v>0</v>
      </c>
      <c r="D74" s="3">
        <v>5</v>
      </c>
      <c r="E74" s="3">
        <v>15</v>
      </c>
      <c r="F74" s="3">
        <v>7</v>
      </c>
      <c r="G74" s="3">
        <v>7</v>
      </c>
      <c r="H74" s="3">
        <v>2</v>
      </c>
      <c r="I74" s="3">
        <v>0</v>
      </c>
      <c r="J74" s="3">
        <v>0</v>
      </c>
    </row>
    <row r="75" ht="16.5" spans="1:10">
      <c r="A75" s="4" t="s">
        <v>249</v>
      </c>
      <c r="B75" s="2">
        <f t="shared" si="3"/>
        <v>42</v>
      </c>
      <c r="C75" s="3">
        <v>2</v>
      </c>
      <c r="D75" s="3">
        <v>15</v>
      </c>
      <c r="E75" s="3">
        <v>20</v>
      </c>
      <c r="F75" s="3">
        <v>3</v>
      </c>
      <c r="G75" s="3">
        <v>2</v>
      </c>
      <c r="H75" s="3">
        <v>0</v>
      </c>
      <c r="I75" s="3">
        <v>0</v>
      </c>
      <c r="J75" s="3">
        <v>0</v>
      </c>
    </row>
    <row r="76" ht="16.5" spans="1:10">
      <c r="A76" s="4" t="s">
        <v>250</v>
      </c>
      <c r="B76" s="2">
        <f t="shared" si="3"/>
        <v>65</v>
      </c>
      <c r="C76" s="3">
        <v>23</v>
      </c>
      <c r="D76" s="3">
        <v>35</v>
      </c>
      <c r="E76" s="3">
        <v>5</v>
      </c>
      <c r="F76" s="3">
        <v>2</v>
      </c>
      <c r="G76" s="3">
        <v>0</v>
      </c>
      <c r="H76" s="3">
        <v>0</v>
      </c>
      <c r="I76" s="3">
        <v>0</v>
      </c>
      <c r="J76" s="3">
        <v>0</v>
      </c>
    </row>
    <row r="77" ht="16.5" spans="1:10">
      <c r="A77" s="4" t="s">
        <v>251</v>
      </c>
      <c r="B77" s="2">
        <f t="shared" si="3"/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</row>
    <row r="78" ht="49.5" spans="1:10">
      <c r="A78" s="6" t="s">
        <v>252</v>
      </c>
      <c r="B78" s="2"/>
      <c r="C78" s="4"/>
      <c r="D78" s="4"/>
      <c r="E78" s="4"/>
      <c r="F78" s="4"/>
      <c r="G78" s="4"/>
      <c r="H78" s="4"/>
      <c r="I78" s="4"/>
      <c r="J78" s="4"/>
    </row>
    <row r="79" ht="16.5" spans="1:10">
      <c r="A79" s="4" t="s">
        <v>253</v>
      </c>
      <c r="B79" s="2">
        <f t="shared" si="3"/>
        <v>69</v>
      </c>
      <c r="C79" s="4">
        <v>8</v>
      </c>
      <c r="D79" s="4">
        <v>27</v>
      </c>
      <c r="E79" s="4">
        <v>18</v>
      </c>
      <c r="F79" s="4">
        <v>9</v>
      </c>
      <c r="G79" s="4">
        <v>6</v>
      </c>
      <c r="H79" s="4">
        <v>0</v>
      </c>
      <c r="I79" s="4">
        <v>0</v>
      </c>
      <c r="J79" s="4">
        <v>1</v>
      </c>
    </row>
    <row r="80" ht="16.5" spans="1:10">
      <c r="A80" s="4" t="s">
        <v>254</v>
      </c>
      <c r="B80" s="2">
        <f t="shared" si="3"/>
        <v>89</v>
      </c>
      <c r="C80" s="4">
        <v>17</v>
      </c>
      <c r="D80" s="4">
        <v>29</v>
      </c>
      <c r="E80" s="4">
        <v>22</v>
      </c>
      <c r="F80" s="4">
        <v>4</v>
      </c>
      <c r="G80" s="4">
        <v>9</v>
      </c>
      <c r="H80" s="4">
        <v>4</v>
      </c>
      <c r="I80" s="4">
        <v>3</v>
      </c>
      <c r="J80" s="4">
        <v>1</v>
      </c>
    </row>
    <row r="82" ht="14.25" spans="3:10">
      <c r="C82" s="7" t="s">
        <v>267</v>
      </c>
      <c r="D82" s="7" t="s">
        <v>259</v>
      </c>
      <c r="E82" s="7" t="s">
        <v>258</v>
      </c>
      <c r="F82" s="7" t="s">
        <v>258</v>
      </c>
      <c r="G82" s="7" t="s">
        <v>258</v>
      </c>
      <c r="H82" s="7" t="s">
        <v>258</v>
      </c>
      <c r="I82" s="7" t="s">
        <v>258</v>
      </c>
      <c r="J82" s="7" t="s">
        <v>258</v>
      </c>
    </row>
  </sheetData>
  <mergeCells count="4">
    <mergeCell ref="A1:J1"/>
    <mergeCell ref="A22:J22"/>
    <mergeCell ref="A43:J43"/>
    <mergeCell ref="A64:J6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6" sqref="D36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组织管理与机构建设</vt:lpstr>
      <vt:lpstr>教学保障</vt:lpstr>
      <vt:lpstr>教学运行与质量评价</vt:lpstr>
      <vt:lpstr>科研与学科建设</vt:lpstr>
      <vt:lpstr>教学产出与质量</vt:lpstr>
      <vt:lpstr>按年龄结构分层数据</vt:lpstr>
      <vt:lpstr>经费保障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lily</cp:lastModifiedBy>
  <dcterms:created xsi:type="dcterms:W3CDTF">2025-07-01T01:21:00Z</dcterms:created>
  <dcterms:modified xsi:type="dcterms:W3CDTF">2026-03-16T07:42:23Z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F1E3BBB581F54D9EB1B59FF513818BCA_13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