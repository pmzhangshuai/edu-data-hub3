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545" windowHeight="12255" tabRatio="925" firstSheet="2" activeTab="4"/>
  </bookViews>
  <sheets>
    <sheet name="Ⅰ-1 临床教学部-基本信息" sheetId="1" r:id="rId1"/>
    <sheet name="Ⅰ-2 临床教学部-组织管理与机构建设" sheetId="25" r:id="rId2"/>
    <sheet name="Ⅰ-3 临床教学部-教学保障" sheetId="24" r:id="rId3"/>
    <sheet name="Ⅰ-4 临床教学部-教学运行与质量评价" sheetId="12" r:id="rId4"/>
    <sheet name="Ⅱ 学生管理科" sheetId="15" r:id="rId5"/>
    <sheet name="Ⅲ 科研管理科" sheetId="16" r:id="rId6"/>
    <sheet name="附表1 临床教学部-临床技能中心人员名单" sheetId="4" r:id="rId7"/>
    <sheet name="附表2 临床教学部-师资队伍（填报医师名单）" sheetId="9" r:id="rId8"/>
    <sheet name="附表3 临床教学部-师资培训统计" sheetId="10" r:id="rId9"/>
    <sheet name="附表4 临床教学部-岗前培训" sheetId="14" r:id="rId10"/>
    <sheet name="附表5 教研室-人员名单" sheetId="5" r:id="rId11"/>
    <sheet name="附表6 教研室-实习讲座" sheetId="23" r:id="rId12"/>
    <sheet name="附表7 教学管理科-教学管理人员汇总" sheetId="3" r:id="rId13"/>
    <sheet name="附表8 教学管理科-学术交流" sheetId="11" r:id="rId14"/>
    <sheet name="附表9 教学管理科-竞赛" sheetId="22" r:id="rId15"/>
    <sheet name="附表10 科研管理科-项目申报获批" sheetId="18" r:id="rId16"/>
    <sheet name="附表11 科研管理科-论文发表" sheetId="19" r:id="rId17"/>
    <sheet name="附表12  科研管理科-成果申报" sheetId="20"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管理员</author>
  </authors>
  <commentList>
    <comment ref="F1" authorId="0">
      <text>
        <r>
          <rPr>
            <b/>
            <sz val="9"/>
            <rFont val="宋体"/>
            <charset val="134"/>
          </rPr>
          <t>管理员:</t>
        </r>
        <r>
          <rPr>
            <sz val="9"/>
            <rFont val="宋体"/>
            <charset val="134"/>
          </rPr>
          <t xml:space="preserve">
教师所获最高学位，分为博士、硕士、学士和无学位。</t>
        </r>
      </text>
    </comment>
    <comment ref="G1" authorId="0">
      <text>
        <r>
          <rPr>
            <b/>
            <sz val="9"/>
            <rFont val="宋体"/>
            <charset val="134"/>
          </rPr>
          <t>管理员:</t>
        </r>
        <r>
          <rPr>
            <sz val="9"/>
            <rFont val="宋体"/>
            <charset val="134"/>
          </rPr>
          <t xml:space="preserve">
选择主治医师、副主任选择主任医师、副主任医师、主治医师、医师、医士、主任护师、副主任护师、主管护师、护师、护士、主任药师、副主任药师、主管药师、药师、药士、主任技师、副主任技师、主管技师、技师、技士、无。（如无卫技系列职称，选择 “无”填报）</t>
        </r>
      </text>
    </comment>
  </commentList>
</comments>
</file>

<file path=xl/comments2.xml><?xml version="1.0" encoding="utf-8"?>
<comments xmlns="http://schemas.openxmlformats.org/spreadsheetml/2006/main">
  <authors>
    <author>管理员</author>
  </authors>
  <commentList>
    <comment ref="J1" authorId="0">
      <text>
        <r>
          <rPr>
            <b/>
            <sz val="9"/>
            <rFont val="宋体"/>
            <charset val="134"/>
          </rPr>
          <t>管理员:</t>
        </r>
        <r>
          <rPr>
            <sz val="9"/>
            <rFont val="宋体"/>
            <charset val="134"/>
          </rPr>
          <t xml:space="preserve">
选择主治医师、副主任选择主任医师、副主任医师、主治医师、医师、医士、主任护师、副主任护师、主管护师、护师、护士、主任药师、副主任药师、主管药师、药师、药士、主任技师、副主任技师、主管技师、技师、技士、无。（如无卫技系列职称，选择 “无”填报）</t>
        </r>
      </text>
    </comment>
  </commentList>
</comments>
</file>

<file path=xl/comments3.xml><?xml version="1.0" encoding="utf-8"?>
<comments xmlns="http://schemas.openxmlformats.org/spreadsheetml/2006/main">
  <authors>
    <author>管理员</author>
  </authors>
  <commentList>
    <comment ref="G1" authorId="0">
      <text>
        <r>
          <rPr>
            <b/>
            <sz val="9"/>
            <rFont val="宋体"/>
            <charset val="134"/>
          </rPr>
          <t>管理员:</t>
        </r>
        <r>
          <rPr>
            <sz val="9"/>
            <rFont val="宋体"/>
            <charset val="134"/>
          </rPr>
          <t xml:space="preserve">
教师所获最高学位，分为博士、硕士、学士和无学位。</t>
        </r>
      </text>
    </comment>
    <comment ref="H1" authorId="0">
      <text>
        <r>
          <rPr>
            <b/>
            <sz val="9"/>
            <rFont val="宋体"/>
            <charset val="134"/>
          </rPr>
          <t>管理员:</t>
        </r>
        <r>
          <rPr>
            <sz val="9"/>
            <rFont val="宋体"/>
            <charset val="134"/>
          </rPr>
          <t xml:space="preserve">
选择教授、副教授、讲师、助教、其他正高级、其他副高级、其他中级、其他初级、无。（不含医师系列职称）</t>
        </r>
      </text>
    </comment>
    <comment ref="I1" authorId="0">
      <text>
        <r>
          <rPr>
            <b/>
            <sz val="9"/>
            <rFont val="宋体"/>
            <charset val="134"/>
          </rPr>
          <t>管理员:</t>
        </r>
        <r>
          <rPr>
            <sz val="9"/>
            <rFont val="宋体"/>
            <charset val="134"/>
          </rPr>
          <t xml:space="preserve">
选择主治医师、副主任选择主任医师、副主任医师、主治医师、医师、医士、主任护师、副主任护师、主管护师、护师、护士、主任药师、副主任药师、主管药师、药师、药士、主任技师、副主任技师、主管技师、技师、技士、无。（如无卫技系列职称，选择 “无”填报）</t>
        </r>
      </text>
    </comment>
  </commentList>
</comments>
</file>

<file path=xl/comments4.xml><?xml version="1.0" encoding="utf-8"?>
<comments xmlns="http://schemas.openxmlformats.org/spreadsheetml/2006/main">
  <authors>
    <author>管理员</author>
  </authors>
  <commentList>
    <comment ref="D1" authorId="0">
      <text>
        <r>
          <rPr>
            <sz val="9"/>
            <rFont val="宋体"/>
            <charset val="134"/>
          </rPr>
          <t>分为一般学生管理人员、本科生辅导员、教学管理人员、教学督导人员、教研室主任、教研室副主任、教学秘书。
其中，一般学生管理人员指从事学生管理工作的人员，如分管学生工作的副书记（副院长）、学生管理机构的工作人员、从事学生管理工作的人员；
本科生辅导员指专职负责本科生管理工作的辅导员；
教学管理人员指从事教学管理工作的人员，如分管教学工作的领导、教学管理机构的专职教学管理人员。
教学督导人员指正式聘任的专兼职督导人员,含校级督导和院级督导。</t>
        </r>
      </text>
    </comment>
    <comment ref="H1" authorId="0">
      <text>
        <r>
          <rPr>
            <b/>
            <sz val="9"/>
            <rFont val="宋体"/>
            <charset val="134"/>
          </rPr>
          <t>管理员:</t>
        </r>
        <r>
          <rPr>
            <sz val="9"/>
            <rFont val="宋体"/>
            <charset val="134"/>
          </rPr>
          <t xml:space="preserve">
教师所获最高学位，分为博士、硕士、学士和无学位。</t>
        </r>
      </text>
    </comment>
    <comment ref="I1" authorId="0">
      <text>
        <r>
          <rPr>
            <b/>
            <sz val="9"/>
            <rFont val="宋体"/>
            <charset val="134"/>
          </rPr>
          <t>管理员:</t>
        </r>
        <r>
          <rPr>
            <sz val="9"/>
            <rFont val="宋体"/>
            <charset val="134"/>
          </rPr>
          <t xml:space="preserve">
选择主治医师、副主任选择主任医师、副主任医师、主治医师、医师、医士、主任护师、副主任护师、主管护师、护师、护士、主任药师、副主任药师、主管药师、药师、药士、主任技师、副主任技师、主管技师、技师、技士、无。（如无卫技系列职称，选择 “无”填报）</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<sst xmlns="http://schemas.openxmlformats.org/spreadsheetml/2006/main" count="2705" uniqueCount="701">
  <si>
    <t>填表说明：1.请在第(53)-(59)栏补充专业名称(如：临床医学)，并在下方单元格内填写相应人数，如还需补充请在(59)列后另加一列；
          2.(47)=(49)+(52)
          3.(53)=（54）+(55)+(56)+(57)+(58)+(59)
          4.表中如有需要增加列的请自行增加在相应条目位置。</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</si>
  <si>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</si>
  <si>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</si>
  <si>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</si>
  <si>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</si>
  <si>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</si>
  <si>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</si>
  <si>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</si>
  <si>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</si>
  <si>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</si>
  <si>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</si>
  <si>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</si>
  <si>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</si>
  <si>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</si>
  <si>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</si>
  <si>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</si>
  <si>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</si>
  <si>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</si>
  <si>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</si>
  <si>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</si>
  <si>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</si>
  <si>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</si>
  <si>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</si>
  <si>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</si>
  <si>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</si>
  <si>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</si>
  <si>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</si>
  <si>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</si>
  <si>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</si>
  <si>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</si>
  <si>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</si>
  <si>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</si>
  <si>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</si>
  <si>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</si>
  <si>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</si>
  <si>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</si>
  <si>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</si>
  <si>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</si>
  <si>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</si>
  <si>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</si>
  <si>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</si>
  <si>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</si>
  <si>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</si>
  <si>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</si>
  <si>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</si>
  <si>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</si>
  <si>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</si>
  <si>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</si>
  <si>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</si>
  <si>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</si>
  <si>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</si>
  <si>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</si>
  <si>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</si>
  <si>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</si>
  <si>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</si>
  <si>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</si>
  <si>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</si>
  <si>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</si>
  <si>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</si>
  <si>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</si>
  <si>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</si>
  <si>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</si>
  <si>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</si>
  <si>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</si>
  <si>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</si>
  <si>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医院名称</t>
  </si>
  <si>
    <t>医院等级</t>
  </si>
  <si>
    <t>附属性质</t>
  </si>
  <si>
    <t>签约时间</t>
  </si>
  <si>
    <t>有效期（年）</t>
  </si>
  <si>
    <t>二次签约时间</t>
  </si>
  <si>
    <t>二次签约有效期（年）</t>
  </si>
  <si>
    <r>
      <rPr>
        <sz val="11"/>
        <color theme="1"/>
        <rFont val="宋体"/>
        <charset val="134"/>
        <scheme val="minor"/>
      </rPr>
      <t>医院面积（</t>
    </r>
    <r>
      <rPr>
        <i/>
        <sz val="11"/>
        <color theme="1"/>
        <rFont val="Times New Roman"/>
        <charset val="134"/>
      </rPr>
      <t>m</t>
    </r>
    <r>
      <rPr>
        <i/>
        <vertAlign val="superscript"/>
        <sz val="11"/>
        <color theme="1"/>
        <rFont val="Times New Roman"/>
        <charset val="134"/>
      </rPr>
      <t>2</t>
    </r>
    <r>
      <rPr>
        <sz val="11"/>
        <color theme="1"/>
        <rFont val="宋体"/>
        <charset val="134"/>
        <scheme val="minor"/>
      </rPr>
      <t>)</t>
    </r>
  </si>
  <si>
    <t>临床科室（个）</t>
  </si>
  <si>
    <t>病区（个）</t>
  </si>
  <si>
    <t>医技科室（个）</t>
  </si>
  <si>
    <t>专业基地（个）</t>
  </si>
  <si>
    <t>其中：</t>
  </si>
  <si>
    <t>编制床位数（张）</t>
  </si>
  <si>
    <t>开放床位数（张）</t>
  </si>
  <si>
    <t>教学病床数</t>
  </si>
  <si>
    <t>重点专科（个）</t>
  </si>
  <si>
    <t>重点学科（个）</t>
  </si>
  <si>
    <t>全院职工数（人）</t>
  </si>
  <si>
    <t>卫生技术人员总数（人）</t>
  </si>
  <si>
    <t>高级职称人数（人）</t>
  </si>
  <si>
    <t>博士（不含在读）（人）</t>
  </si>
  <si>
    <t>博士在读（人）</t>
  </si>
  <si>
    <t>硕士（不含在读）（人）</t>
  </si>
  <si>
    <t>硕士在读（人）</t>
  </si>
  <si>
    <t>博导人数（人）</t>
  </si>
  <si>
    <t>硕导人数（人）</t>
  </si>
  <si>
    <t>在院学生总数（人）</t>
  </si>
  <si>
    <t>在院贵医学生总数（人）</t>
  </si>
  <si>
    <t>理论课学习贵医学生总数（人）</t>
  </si>
  <si>
    <t>实习生总数（人）</t>
  </si>
  <si>
    <t>其中：(1)贵州医科大学（人）</t>
  </si>
  <si>
    <t>（2）其他学校（人）</t>
  </si>
  <si>
    <t>全院研究生人数（人）</t>
  </si>
  <si>
    <t>全院规培生人数（人）</t>
  </si>
  <si>
    <t>国家三级公立医院绩效监测（国考）等级</t>
  </si>
  <si>
    <t>省级公立医院高质量发展绩效考核（省考）等级</t>
  </si>
  <si>
    <t>国家住院医师规范化培训基地（个）</t>
  </si>
  <si>
    <t>专科医师规范化培训基地（个）</t>
  </si>
  <si>
    <t>内科床位数（张）</t>
  </si>
  <si>
    <t>外科床位数（张）</t>
  </si>
  <si>
    <t>妇产科床位数（张）</t>
  </si>
  <si>
    <t>儿科床位数（张）</t>
  </si>
  <si>
    <t>内科（张）</t>
  </si>
  <si>
    <t>外科（张）</t>
  </si>
  <si>
    <t>妇产科（张）</t>
  </si>
  <si>
    <t>儿科（张）</t>
  </si>
  <si>
    <t>国家临床重点专科（个）</t>
  </si>
  <si>
    <t>国家特色专科（个）</t>
  </si>
  <si>
    <t>省级临床重点专科（个）</t>
  </si>
  <si>
    <t>省级特色专科（个）</t>
  </si>
  <si>
    <t>市州级重点专科（个）</t>
  </si>
  <si>
    <t>国家重点学科（个）</t>
  </si>
  <si>
    <t>省级重点学科（个）</t>
  </si>
  <si>
    <t>市州级重点学科（个）</t>
  </si>
  <si>
    <t>正高级（人）</t>
  </si>
  <si>
    <t>副高级（人）</t>
  </si>
  <si>
    <t>专升本学生总数（人）</t>
  </si>
  <si>
    <t>本科生人数（人）</t>
  </si>
  <si>
    <t>合计</t>
  </si>
  <si>
    <t>其中：①临床医学</t>
  </si>
  <si>
    <t>②护理</t>
  </si>
  <si>
    <t>③检验</t>
  </si>
  <si>
    <t>④专业4</t>
  </si>
  <si>
    <t>⑤专业5</t>
  </si>
  <si>
    <t>......</t>
  </si>
  <si>
    <t>示例：***医院</t>
  </si>
  <si>
    <t>三级甲等</t>
  </si>
  <si>
    <t>直属附属医院</t>
  </si>
  <si>
    <t>20**/**/**</t>
  </si>
  <si>
    <t>*</t>
  </si>
  <si>
    <t>输入字符</t>
  </si>
  <si>
    <t>可选字符</t>
  </si>
  <si>
    <t>输入日期</t>
  </si>
  <si>
    <t>输入数值</t>
  </si>
  <si>
    <t>选项如下：</t>
  </si>
  <si>
    <t>单位：年</t>
  </si>
  <si>
    <t>单位：m2</t>
  </si>
  <si>
    <t>单位：个</t>
  </si>
  <si>
    <t>单位：张</t>
  </si>
  <si>
    <t>单位：人</t>
  </si>
  <si>
    <t>三级乙等</t>
  </si>
  <si>
    <t>非直属附属医院</t>
  </si>
  <si>
    <t>三级医院</t>
  </si>
  <si>
    <t>教学医院</t>
  </si>
  <si>
    <t>二级甲等</t>
  </si>
  <si>
    <t>二级乙等</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</si>
  <si>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</si>
  <si>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</si>
  <si>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</si>
  <si>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</si>
  <si>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</si>
  <si>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</si>
  <si>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</si>
  <si>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</si>
  <si>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</si>
  <si>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</si>
  <si>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</si>
  <si>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</si>
  <si>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</si>
  <si>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</si>
  <si>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</si>
  <si>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</si>
  <si>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</si>
  <si>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</si>
  <si>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</si>
  <si>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</si>
  <si>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</si>
  <si>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</si>
  <si>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</si>
  <si>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</si>
  <si>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</si>
  <si>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</si>
  <si>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</si>
  <si>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</si>
  <si>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</si>
  <si>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</si>
  <si>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</si>
  <si>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</si>
  <si>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</si>
  <si>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</si>
  <si>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</si>
  <si>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</si>
  <si>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</si>
  <si>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</si>
  <si>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</si>
  <si>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</si>
  <si>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教学规划与建设</t>
  </si>
  <si>
    <t>党委会、院长办公会专项研究教学、科研和学生工作</t>
  </si>
  <si>
    <t>党政主要领导、教学分管领导为本科生授课</t>
  </si>
  <si>
    <t>教学副院长</t>
  </si>
  <si>
    <t>教学副院长组织教学工作会议</t>
  </si>
  <si>
    <t>教学副院长指导教学管理工作、教研室教学</t>
  </si>
  <si>
    <t>教学管理机构</t>
  </si>
  <si>
    <t>教学指导分委员会</t>
  </si>
  <si>
    <t>教学指导分委员会召开专题会议</t>
  </si>
  <si>
    <t>教学督导分委员会</t>
  </si>
  <si>
    <t>教学督导分委员会召开专题会议</t>
  </si>
  <si>
    <t>教研室设置</t>
  </si>
  <si>
    <t>临床技能中心</t>
  </si>
  <si>
    <t>理论教学管理制度</t>
  </si>
  <si>
    <t>实验教学管理制度</t>
  </si>
  <si>
    <t>实践教学管理制度</t>
  </si>
  <si>
    <t>考试管理制度</t>
  </si>
  <si>
    <t>成绩管理制度</t>
  </si>
  <si>
    <t>教学质控工作制度</t>
  </si>
  <si>
    <t>研究生管理制度</t>
  </si>
  <si>
    <t>学生管理制度</t>
  </si>
  <si>
    <t>教师管理制度</t>
  </si>
  <si>
    <t>科研管理制度</t>
  </si>
  <si>
    <t>教学激励制度</t>
  </si>
  <si>
    <t>教学工作量与医院绩效考核和职称晋升挂钩</t>
  </si>
  <si>
    <t>教学工作量在职称晋升指标中占比</t>
  </si>
  <si>
    <t>教学工作量在绩效考核指标中占比</t>
  </si>
  <si>
    <t>将教学、科研、人才培养纳入医院发展规划</t>
  </si>
  <si>
    <t>年度工作计划</t>
  </si>
  <si>
    <t>年度工作总结</t>
  </si>
  <si>
    <t>院长作为教学、科研、行政管理责任人及院领导分工</t>
  </si>
  <si>
    <t>次数（次）</t>
  </si>
  <si>
    <t>时间1</t>
  </si>
  <si>
    <t>时间2</t>
  </si>
  <si>
    <t>时间3</t>
  </si>
  <si>
    <t>时间4</t>
  </si>
  <si>
    <t>教学管理科</t>
  </si>
  <si>
    <t>人数（人）</t>
  </si>
  <si>
    <t>科研管理科</t>
  </si>
  <si>
    <t>学生管理科</t>
  </si>
  <si>
    <t>辅导员（班主任）人数</t>
  </si>
  <si>
    <t>辅导员（班主任）与学生比</t>
  </si>
  <si>
    <t>设置有无</t>
  </si>
  <si>
    <t>成员人数（人）</t>
  </si>
  <si>
    <t>教研室负责人人数（人）</t>
  </si>
  <si>
    <t>开展听评课次数（次）</t>
  </si>
  <si>
    <t>教研室数（个）</t>
  </si>
  <si>
    <t>内科</t>
  </si>
  <si>
    <t>外科</t>
  </si>
  <si>
    <t>妇产科</t>
  </si>
  <si>
    <t>儿科</t>
  </si>
  <si>
    <t>护理</t>
  </si>
  <si>
    <t>医技</t>
  </si>
  <si>
    <t>其他1</t>
  </si>
  <si>
    <t>其他2</t>
  </si>
  <si>
    <t>其他3</t>
  </si>
  <si>
    <t>人数</t>
  </si>
  <si>
    <t>集体备课制度</t>
  </si>
  <si>
    <t>教师试讲制度</t>
  </si>
  <si>
    <t>青年教师培养制度</t>
  </si>
  <si>
    <t>听评课制度</t>
  </si>
  <si>
    <t>临床技能中心管理制度</t>
  </si>
  <si>
    <t>实验室管理制度</t>
  </si>
  <si>
    <t>教学仪器设备、模型、配套设施管理维护制度</t>
  </si>
  <si>
    <t>实验环境与安全制度</t>
  </si>
  <si>
    <t>临床见习（见习带教、见习考核）制度</t>
  </si>
  <si>
    <t>教学查房制度</t>
  </si>
  <si>
    <t>病例讨论制度</t>
  </si>
  <si>
    <t>病例书写规范制度</t>
  </si>
  <si>
    <t>教学讲座制度</t>
  </si>
  <si>
    <t>临床技能培训及考核制度</t>
  </si>
  <si>
    <t>出科考试与实习鉴定制度</t>
  </si>
  <si>
    <t>学位论文质量保障制度</t>
  </si>
  <si>
    <t>试题库建设制度</t>
  </si>
  <si>
    <t>教考分离制度</t>
  </si>
  <si>
    <t>命题规范制度</t>
  </si>
  <si>
    <t>巡考制度</t>
  </si>
  <si>
    <t>教学督导委员会工作制度</t>
  </si>
  <si>
    <t>教学指导委员会工作制度</t>
  </si>
  <si>
    <t>教学监控与评价制度</t>
  </si>
  <si>
    <t>学生管理规定/办法/实施细则</t>
  </si>
  <si>
    <t>学籍管理制度</t>
  </si>
  <si>
    <t>学生违纪处分管理办法/学生申诉处理办法</t>
  </si>
  <si>
    <t>学风建设制度</t>
  </si>
  <si>
    <t>思想教育及素质教育制度</t>
  </si>
  <si>
    <t>心理健康与安全制度</t>
  </si>
  <si>
    <t>学生资助、奖惩、就业制度</t>
  </si>
  <si>
    <t>学生宿舍管理制度</t>
  </si>
  <si>
    <t>教学管理人员制度</t>
  </si>
  <si>
    <t>教师考核、评聘、奖惩制度</t>
  </si>
  <si>
    <t>研究生导师管理制度</t>
  </si>
  <si>
    <t>绩效管理制度</t>
  </si>
  <si>
    <t>科学道德和学术规范制度</t>
  </si>
  <si>
    <t>学位论文质量保障（本科生、研究生）制度</t>
  </si>
  <si>
    <t>项目管理制度</t>
  </si>
  <si>
    <t>成果管理制度</t>
  </si>
  <si>
    <t>有</t>
  </si>
  <si>
    <t>是</t>
  </si>
  <si>
    <t>/</t>
  </si>
  <si>
    <t>王五</t>
  </si>
  <si>
    <t>1:66</t>
  </si>
  <si>
    <t>无</t>
  </si>
  <si>
    <t>此处填写有理论教学的教研室，有多个可增加列，无则无需填写</t>
  </si>
  <si>
    <t>计算数值</t>
  </si>
  <si>
    <t>单位：次</t>
  </si>
  <si>
    <t>=辅导员（班主任）人数：全院学生总数</t>
  </si>
  <si>
    <t>单位：%</t>
  </si>
  <si>
    <t>否</t>
  </si>
  <si>
    <r>
      <rPr>
        <sz val="11"/>
        <color theme="1"/>
        <rFont val="宋体"/>
        <charset val="134"/>
        <scheme val="minor"/>
      </rPr>
      <t>教学行政用房面积（</t>
    </r>
    <r>
      <rPr>
        <sz val="11"/>
        <color theme="1"/>
        <rFont val="Times New Roman"/>
        <charset val="134"/>
      </rPr>
      <t>m</t>
    </r>
    <r>
      <rPr>
        <vertAlign val="superscript"/>
        <sz val="11"/>
        <color theme="1"/>
        <rFont val="Times New Roman"/>
        <charset val="134"/>
      </rPr>
      <t>2</t>
    </r>
    <r>
      <rPr>
        <sz val="11"/>
        <color theme="1"/>
        <rFont val="宋体"/>
        <charset val="134"/>
        <scheme val="minor"/>
      </rPr>
      <t>)</t>
    </r>
  </si>
  <si>
    <r>
      <rPr>
        <sz val="11"/>
        <color theme="1"/>
        <rFont val="宋体"/>
        <charset val="134"/>
        <scheme val="minor"/>
      </rPr>
      <t>生均教学行政用房面积（</t>
    </r>
    <r>
      <rPr>
        <sz val="11"/>
        <color theme="1"/>
        <rFont val="Times New Roman"/>
        <charset val="134"/>
      </rPr>
      <t>m</t>
    </r>
    <r>
      <rPr>
        <vertAlign val="superscript"/>
        <sz val="11"/>
        <color theme="1"/>
        <rFont val="Times New Roman"/>
        <charset val="134"/>
      </rPr>
      <t>2</t>
    </r>
    <r>
      <rPr>
        <sz val="11"/>
        <color theme="1"/>
        <rFont val="宋体"/>
        <charset val="134"/>
        <scheme val="minor"/>
      </rPr>
      <t>)</t>
    </r>
  </si>
  <si>
    <r>
      <rPr>
        <sz val="11"/>
        <color theme="1"/>
        <rFont val="宋体"/>
        <charset val="134"/>
        <scheme val="minor"/>
      </rPr>
      <t>教室总面积</t>
    </r>
    <r>
      <rPr>
        <sz val="11"/>
        <color theme="1"/>
        <rFont val="宋体"/>
        <charset val="134"/>
      </rPr>
      <t>（</t>
    </r>
    <r>
      <rPr>
        <sz val="11"/>
        <color theme="1"/>
        <rFont val="Times New Roman"/>
        <charset val="134"/>
      </rPr>
      <t>m</t>
    </r>
    <r>
      <rPr>
        <vertAlign val="superscript"/>
        <sz val="11"/>
        <color theme="1"/>
        <rFont val="Times New Roman"/>
        <charset val="134"/>
      </rPr>
      <t>2</t>
    </r>
    <r>
      <rPr>
        <sz val="11"/>
        <color theme="1"/>
        <rFont val="Times New Roman"/>
        <charset val="134"/>
      </rPr>
      <t>)</t>
    </r>
  </si>
  <si>
    <r>
      <rPr>
        <sz val="11"/>
        <color theme="1"/>
        <rFont val="宋体"/>
        <charset val="134"/>
        <scheme val="minor"/>
      </rPr>
      <t>生均教室面积</t>
    </r>
    <r>
      <rPr>
        <sz val="11"/>
        <color theme="1"/>
        <rFont val="宋体"/>
        <charset val="134"/>
      </rPr>
      <t>（</t>
    </r>
    <r>
      <rPr>
        <sz val="11"/>
        <color theme="1"/>
        <rFont val="Times New Roman"/>
        <charset val="134"/>
      </rPr>
      <t>m</t>
    </r>
    <r>
      <rPr>
        <vertAlign val="superscript"/>
        <sz val="11"/>
        <color theme="1"/>
        <rFont val="Times New Roman"/>
        <charset val="134"/>
      </rPr>
      <t>2</t>
    </r>
    <r>
      <rPr>
        <sz val="11"/>
        <color theme="1"/>
        <rFont val="Times New Roman"/>
        <charset val="134"/>
      </rPr>
      <t>)</t>
    </r>
  </si>
  <si>
    <t>教室数（间）</t>
  </si>
  <si>
    <t>智慧化教室数量（间）</t>
  </si>
  <si>
    <t>智慧化教室覆盖率（%）</t>
  </si>
  <si>
    <t>自习室（间）</t>
  </si>
  <si>
    <t>值班室（间）</t>
  </si>
  <si>
    <t>计算机室（间）</t>
  </si>
  <si>
    <t>图书阅览室</t>
  </si>
  <si>
    <t>提供网络文献检索</t>
  </si>
  <si>
    <t>纸质藏书（万册）</t>
  </si>
  <si>
    <t>生均纸质藏书(册/生）</t>
  </si>
  <si>
    <r>
      <rPr>
        <sz val="11"/>
        <color theme="1"/>
        <rFont val="宋体"/>
        <charset val="134"/>
        <scheme val="minor"/>
      </rPr>
      <t>学生宿舍总面积（</t>
    </r>
    <r>
      <rPr>
        <sz val="11"/>
        <color theme="1"/>
        <rFont val="Times New Roman"/>
        <charset val="134"/>
      </rPr>
      <t>m</t>
    </r>
    <r>
      <rPr>
        <vertAlign val="superscript"/>
        <sz val="11"/>
        <color theme="1"/>
        <rFont val="Times New Roman"/>
        <charset val="134"/>
      </rPr>
      <t>2</t>
    </r>
    <r>
      <rPr>
        <sz val="11"/>
        <color theme="1"/>
        <rFont val="宋体"/>
        <charset val="134"/>
        <scheme val="minor"/>
      </rPr>
      <t>)</t>
    </r>
  </si>
  <si>
    <r>
      <rPr>
        <sz val="11"/>
        <color theme="1"/>
        <rFont val="宋体"/>
        <charset val="134"/>
        <scheme val="minor"/>
      </rPr>
      <t>生均宿舍面积（</t>
    </r>
    <r>
      <rPr>
        <sz val="11"/>
        <color theme="1"/>
        <rFont val="Times New Roman"/>
        <charset val="134"/>
      </rPr>
      <t>m</t>
    </r>
    <r>
      <rPr>
        <vertAlign val="superscript"/>
        <sz val="11"/>
        <color theme="1"/>
        <rFont val="Times New Roman"/>
        <charset val="134"/>
      </rPr>
      <t>2</t>
    </r>
    <r>
      <rPr>
        <sz val="11"/>
        <color theme="1"/>
        <rFont val="宋体"/>
        <charset val="134"/>
        <scheme val="minor"/>
      </rPr>
      <t>)</t>
    </r>
  </si>
  <si>
    <t>食堂</t>
  </si>
  <si>
    <t>文体活动中心</t>
  </si>
  <si>
    <t>数字化教学设备（种）</t>
  </si>
  <si>
    <t>教学软件（种）</t>
  </si>
  <si>
    <t>声像资料（种）</t>
  </si>
  <si>
    <t>自制教学视频（个）</t>
  </si>
  <si>
    <t>接入教务管理平台</t>
  </si>
  <si>
    <t>接入学生管理平台</t>
  </si>
  <si>
    <t>接入科研管理平台</t>
  </si>
  <si>
    <t>师资队伍建设是否纳入医院五年规划</t>
  </si>
  <si>
    <t>师资队伍建设是否纳入医院年度计划</t>
  </si>
  <si>
    <t>医师人数（指取得医师资格证所有人员数，人）</t>
  </si>
  <si>
    <t>师资培训</t>
  </si>
  <si>
    <t>会议交流</t>
  </si>
  <si>
    <t>近3年医务性收入用于教学比例</t>
  </si>
  <si>
    <t>本年度预算经费（万元）</t>
  </si>
  <si>
    <t>2023年教育经费用途（万元）</t>
  </si>
  <si>
    <t>2024年教育经费用途（万元）</t>
  </si>
  <si>
    <t>2025年教育经费用途（万元）</t>
  </si>
  <si>
    <t>2025年教育教学经费用途（如：教学教学活动、教学环境优化、师资队伍建设、学科建设发展、教学与学术交流等按医院实际支出填写）</t>
  </si>
  <si>
    <t>本科学历人数（人）</t>
  </si>
  <si>
    <t>本科学历比例（%）</t>
  </si>
  <si>
    <t>博士人数（人）</t>
  </si>
  <si>
    <t>硕士人数（人）</t>
  </si>
  <si>
    <t>博士、硕士占比（%）</t>
  </si>
  <si>
    <t>高级职称比例（%）</t>
  </si>
  <si>
    <t>50岁及以下人员高级职称占比（%）</t>
  </si>
  <si>
    <t>高级职称理论课授课比例（%）</t>
  </si>
  <si>
    <t>正高级职称理论课授课比例（%）</t>
  </si>
  <si>
    <t>教师资格证持有率（%）</t>
  </si>
  <si>
    <t>师生比</t>
  </si>
  <si>
    <t>派遣管理人员参加校级及以上师资培训次数(次/年）</t>
  </si>
  <si>
    <t>院内师资培训次数（次/年）</t>
  </si>
  <si>
    <t>院内师资培训人数（人）</t>
  </si>
  <si>
    <t>授课教师参训比例（%）</t>
  </si>
  <si>
    <t>教师参加学术会议、学术交流人次（人次/年）</t>
  </si>
  <si>
    <t>2022年医务性收入（万元）</t>
  </si>
  <si>
    <t>2023年医务性收入（万元）</t>
  </si>
  <si>
    <t>教育经费（万元）</t>
  </si>
  <si>
    <t>比例（%）</t>
  </si>
  <si>
    <t>2024年医务性收入（万元）</t>
  </si>
  <si>
    <t>2025年医务性收入（万元）</t>
  </si>
  <si>
    <t>教育经费</t>
  </si>
  <si>
    <t>学生经费</t>
  </si>
  <si>
    <t>科研经费</t>
  </si>
  <si>
    <t>教育教学经费</t>
  </si>
  <si>
    <t>其他</t>
  </si>
  <si>
    <t xml:space="preserve">用途1 </t>
  </si>
  <si>
    <t>金额（万元）</t>
  </si>
  <si>
    <t>用途2</t>
  </si>
  <si>
    <t>用途3</t>
  </si>
  <si>
    <t>用途4</t>
  </si>
  <si>
    <t>用途5</t>
  </si>
  <si>
    <t>用途6</t>
  </si>
  <si>
    <t>**</t>
  </si>
  <si>
    <t>公式计算（1：？)</t>
  </si>
  <si>
    <t>单位：次/年</t>
  </si>
  <si>
    <t>单位：人次/年</t>
  </si>
  <si>
    <t>单位：万元</t>
  </si>
  <si>
    <t>公式计算(%)</t>
  </si>
  <si>
    <t>单位：㎡</t>
  </si>
  <si>
    <t>公式计算(㎡）</t>
  </si>
  <si>
    <t>公式计算</t>
  </si>
  <si>
    <t>单位：间</t>
  </si>
  <si>
    <t>公式计算(册/生)</t>
  </si>
  <si>
    <t>公式计算(㎡)</t>
  </si>
  <si>
    <r>
      <rPr>
        <sz val="11"/>
        <color theme="1"/>
        <rFont val="宋体"/>
        <charset val="134"/>
        <scheme val="minor"/>
      </rPr>
      <t xml:space="preserve">年度
</t>
    </r>
    <r>
      <rPr>
        <sz val="11"/>
        <color rgb="FFFF0000"/>
        <rFont val="宋体"/>
        <charset val="134"/>
        <scheme val="minor"/>
      </rPr>
      <t>（收集2025年度数据）</t>
    </r>
  </si>
  <si>
    <t>课程负责人制度</t>
  </si>
  <si>
    <t>教材</t>
  </si>
  <si>
    <t>教学大纲</t>
  </si>
  <si>
    <t>毕业实习大纲</t>
  </si>
  <si>
    <t>执业医师资格考试大纲</t>
  </si>
  <si>
    <t>教案</t>
  </si>
  <si>
    <t>课件</t>
  </si>
  <si>
    <t>理论课程集体备课次数（次）</t>
  </si>
  <si>
    <t>理论课程教师试讲人数（人）</t>
  </si>
  <si>
    <t>试讲通过人数（人）</t>
  </si>
  <si>
    <t>试讲通过率（%）</t>
  </si>
  <si>
    <t>见习计划</t>
  </si>
  <si>
    <t>见习课程集体备课次数（次）</t>
  </si>
  <si>
    <t>见习课程教师试讲人数（人）</t>
  </si>
  <si>
    <t>见习课程教师试讲通过率（%）</t>
  </si>
  <si>
    <t>见习考核</t>
  </si>
  <si>
    <t>内外妇儿收治病种数（种）</t>
  </si>
  <si>
    <t>实习轮转安排</t>
  </si>
  <si>
    <t>岗前培训次数（次）</t>
  </si>
  <si>
    <t>教学查房（次）</t>
  </si>
  <si>
    <t>教学病例讨论（次）</t>
  </si>
  <si>
    <t>病历书写批改率（%）</t>
  </si>
  <si>
    <t>实习讲座（院级，次）</t>
  </si>
  <si>
    <t>实习讲座（教研室，次）</t>
  </si>
  <si>
    <t>出科考试及格率</t>
  </si>
  <si>
    <t>出科考试平均分（分）</t>
  </si>
  <si>
    <t>执业医师资格考试模拟考试（上一次）</t>
  </si>
  <si>
    <t>院内实习生统一考核机制（仅限新设临床医学院）</t>
  </si>
  <si>
    <t>实习生考核结果及并轨研究生规培考核结果纳入医院绩效考核</t>
  </si>
  <si>
    <t>论文抽检合格率（%）</t>
  </si>
  <si>
    <t>学术论文检测和论文盲审通过率(%）</t>
  </si>
  <si>
    <t>临床主干课程考教分离（%）</t>
  </si>
  <si>
    <t>A、B卷试题重复率（%）</t>
  </si>
  <si>
    <t>院领导巡考（次）</t>
  </si>
  <si>
    <t>学籍审核、登记准确率（%）</t>
  </si>
  <si>
    <t>学生成绩登记准确率（%）</t>
  </si>
  <si>
    <t>教学督导分委员会督导专家听课次数（次）</t>
  </si>
  <si>
    <t>院级领导听课次数（次）</t>
  </si>
  <si>
    <t>教学管理科正（副）科长、教研室正（副）主任听课次数（次）</t>
  </si>
  <si>
    <t>同行教师听评课次数（次）</t>
  </si>
  <si>
    <t>教育教学满意度调研覆盖率（%）</t>
  </si>
  <si>
    <t>理论课集体备课次数（次）</t>
  </si>
  <si>
    <t>考试人数（人）</t>
  </si>
  <si>
    <t>及格人数（人）</t>
  </si>
  <si>
    <t>及格率（%）</t>
  </si>
  <si>
    <t>2025年</t>
  </si>
  <si>
    <t>单位：种</t>
  </si>
  <si>
    <t>单位：分</t>
  </si>
  <si>
    <t>需要计算频次</t>
  </si>
  <si>
    <t>填表说明：1.次表数据时段为2025年数据；
         2.第（41）-（130）栏收集近3年数据。</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</si>
  <si>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</si>
  <si>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</si>
  <si>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</si>
  <si>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</si>
  <si>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</si>
  <si>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</si>
  <si>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</si>
  <si>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</si>
  <si>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</si>
  <si>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</si>
  <si>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</si>
  <si>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</si>
  <si>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</si>
  <si>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</si>
  <si>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</si>
  <si>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</si>
  <si>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</si>
  <si>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</si>
  <si>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</si>
  <si>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</si>
  <si>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</si>
  <si>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</si>
  <si>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</si>
  <si>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</si>
  <si>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</si>
  <si>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</si>
  <si>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</si>
  <si>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</si>
  <si>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重大事件控制</t>
  </si>
  <si>
    <t>学生思想教育</t>
  </si>
  <si>
    <t>学生思想引领与诚信考试教育</t>
  </si>
  <si>
    <t>学生评优评奖、处分及申诉</t>
  </si>
  <si>
    <t>基层组织建设</t>
  </si>
  <si>
    <t>思想政治教育特特色与成效</t>
  </si>
  <si>
    <t>导师评聘考核体系</t>
  </si>
  <si>
    <t>导师能力水平建设与培训机制</t>
  </si>
  <si>
    <t>专业课程教学质量保障机制</t>
  </si>
  <si>
    <t>学位论文质量监控机制</t>
  </si>
  <si>
    <t>专业实践培养质量保障机制</t>
  </si>
  <si>
    <t>质量评估与反馈机制</t>
  </si>
  <si>
    <t>实践基地、科研平台建设</t>
  </si>
  <si>
    <t>伦理与学术规范管理</t>
  </si>
  <si>
    <t>学术交流机制与保障</t>
  </si>
  <si>
    <t>近三年毕业生初次毕业去向落实率（本科生）</t>
  </si>
  <si>
    <t>近三年毕业生初次毕业去向落实率（研究生）</t>
  </si>
  <si>
    <t>近三年我校在院实习的临床医学专业学生（含理论教学后自联外出实习的学生）规培录取率</t>
  </si>
  <si>
    <t>近三年研究生录取率</t>
  </si>
  <si>
    <t>近三年执业医师资格考试（本科生）</t>
  </si>
  <si>
    <t>近三年执业医师资格考试（并轨研究生）</t>
  </si>
  <si>
    <t>近三年执业医师资格考试（规培学员）</t>
  </si>
  <si>
    <t>近三年护士执业资格考试（本科）</t>
  </si>
  <si>
    <t>规培结业首考合格率（规培学员）</t>
  </si>
  <si>
    <t>规培结业首考合格率（并轨研究生）</t>
  </si>
  <si>
    <t>学生就业指导</t>
  </si>
  <si>
    <t>应急预案</t>
  </si>
  <si>
    <t>学生重大事件发生（件）</t>
  </si>
  <si>
    <t>学生重大事次数件处置（次）</t>
  </si>
  <si>
    <t>学生思想教育工作实施方案</t>
  </si>
  <si>
    <t>学生思想教育执行情况及效果</t>
  </si>
  <si>
    <t>学生心理健康与职业规划</t>
  </si>
  <si>
    <t>文化墙建设</t>
  </si>
  <si>
    <t>开展诚信考试教育主题班会</t>
  </si>
  <si>
    <t>评优评奖执行及名额使用</t>
  </si>
  <si>
    <t>贫困生资助落实及资金发放</t>
  </si>
  <si>
    <t>学生违纪处分与教育谈话</t>
  </si>
  <si>
    <t>学生申诉受理与权益保障</t>
  </si>
  <si>
    <t>学院党委召开专题会议研究团队工作或听取共青团开展学生思想政治教育工作汇报（次/学期）</t>
  </si>
  <si>
    <t>配备专人人员从事团的工作</t>
  </si>
  <si>
    <t>团员大会（次）</t>
  </si>
  <si>
    <t>支委会（次）</t>
  </si>
  <si>
    <t>团员年度团籍注册与团员教育评议（次）</t>
  </si>
  <si>
    <t>团课（次）</t>
  </si>
  <si>
    <t>经团组织规范程序推优入党比例（%）</t>
  </si>
  <si>
    <t>“智慧团建”系统信息完整，主题教育专题录入、学社衔接转接率（%）</t>
  </si>
  <si>
    <t>研究生思政教育年度工作总结、案例等</t>
  </si>
  <si>
    <t>研究生思政教育品牌项目（项）</t>
  </si>
  <si>
    <t>研究生思政教育品牌活动（次）</t>
  </si>
  <si>
    <t>每年推进新增导师、导师续聘审核工作</t>
  </si>
  <si>
    <t>上一年度导师素质培训数量（次）</t>
  </si>
  <si>
    <t>素质培训考核</t>
  </si>
  <si>
    <t>上一年度教学督导数量（次）</t>
  </si>
  <si>
    <t>学位论文抽检“存在问题论文”情况</t>
  </si>
  <si>
    <t>研究生论文双盲评通过率（%）</t>
  </si>
  <si>
    <t>论文抽检通过率（%)</t>
  </si>
  <si>
    <t>专业实践过程督导与指导</t>
  </si>
  <si>
    <t>研究生培养质量评估、反馈机制建设</t>
  </si>
  <si>
    <t>实践基地或科研平台满足研究生培养需求</t>
  </si>
  <si>
    <t>上一年度开展伦理与学术审查、学术规范教育及督导次数（次）</t>
  </si>
  <si>
    <t>上一年度研究生学术交流活动数量（次）</t>
  </si>
  <si>
    <t>2023年</t>
  </si>
  <si>
    <t>2024年</t>
  </si>
  <si>
    <t>上一年度就业指导培训人次</t>
  </si>
  <si>
    <t>上一年度就业指导讲座（场）</t>
  </si>
  <si>
    <t>问题论文总数（篇）</t>
  </si>
  <si>
    <t>本科生问题论文数（篇）</t>
  </si>
  <si>
    <t>硕士研究生问题论文数（篇）</t>
  </si>
  <si>
    <t>博士研究生问题论文数（篇）</t>
  </si>
  <si>
    <t>毕业生人数（人）</t>
  </si>
  <si>
    <t>初次毕业去向落实人数（人）</t>
  </si>
  <si>
    <t>初次毕业去向落实率（%）</t>
  </si>
  <si>
    <t>贵医在医院实习或理论教学的临床医学专业学生人数（人）</t>
  </si>
  <si>
    <t>被规培录取的人数（含省内外）（人）</t>
  </si>
  <si>
    <t>录取率（%）</t>
  </si>
  <si>
    <t>考研录取人数（人）</t>
  </si>
  <si>
    <t>首考人数（人）</t>
  </si>
  <si>
    <t>首考通过人数（人）</t>
  </si>
  <si>
    <t>首考通过率（%）</t>
  </si>
  <si>
    <t>通过人数（人）</t>
  </si>
  <si>
    <t>通过率（%）</t>
  </si>
  <si>
    <t>规培人数（人）</t>
  </si>
  <si>
    <t>结业人数（人）</t>
  </si>
  <si>
    <t>单位：件</t>
  </si>
  <si>
    <t>单位：次/学期</t>
  </si>
  <si>
    <t>单位：项</t>
  </si>
  <si>
    <t>单位：篇</t>
  </si>
  <si>
    <t>单位：人次</t>
  </si>
  <si>
    <t>单位：场</t>
  </si>
  <si>
    <t>近三年项目申报</t>
  </si>
  <si>
    <t>近三年申报项目国家级项目占比(%)</t>
  </si>
  <si>
    <t>获批项目经费总额及年均增长率(%)</t>
  </si>
  <si>
    <t>近三年发表论文</t>
  </si>
  <si>
    <t>近三年申报专利数（项）</t>
  </si>
  <si>
    <t>获批专利数（项）</t>
  </si>
  <si>
    <t>近三年获得横向委托项目（万元）</t>
  </si>
  <si>
    <t>学术会议</t>
  </si>
  <si>
    <t>课程建设、混合式教学、教学数字化变革</t>
  </si>
  <si>
    <t>成果申报</t>
  </si>
  <si>
    <t>学科、专科建设</t>
  </si>
  <si>
    <t>每百名卫生技术人员科研经费占比（上一年度）</t>
  </si>
  <si>
    <t>科研诚信失范（件）</t>
  </si>
  <si>
    <t>师德师风失范（件）</t>
  </si>
  <si>
    <t>2023年（项）</t>
  </si>
  <si>
    <t>2024年（项）</t>
  </si>
  <si>
    <t>其中</t>
  </si>
  <si>
    <t>2025年（项）</t>
  </si>
  <si>
    <t>2023年（篇）</t>
  </si>
  <si>
    <t>2024年（篇）</t>
  </si>
  <si>
    <t>2025年（篇）</t>
  </si>
  <si>
    <t>近三年承办行业内（卫生健康、高等医学较教育）学术会议或学校值班的会议活动并参会32人以上（次）</t>
  </si>
  <si>
    <t>国家级一流课程（门）</t>
  </si>
  <si>
    <t>省级一流课程（门）</t>
  </si>
  <si>
    <t>开展智慧课程建设（门）</t>
  </si>
  <si>
    <t>临床主干课程使用学校统一使用教学平台（%）</t>
  </si>
  <si>
    <t>混合式教学每门课程年均案例数（个）</t>
  </si>
  <si>
    <t>学生参与混合式教学满意度（%）</t>
  </si>
  <si>
    <t>近三年参与校级及省级申报数</t>
  </si>
  <si>
    <t>获校级及以上成果奖数</t>
  </si>
  <si>
    <t>国家级临床重点学科数</t>
  </si>
  <si>
    <t>省级临床重点学科数</t>
  </si>
  <si>
    <t>市州级级临床重点学科数</t>
  </si>
  <si>
    <t>国家级临床重点专科数</t>
  </si>
  <si>
    <t>省级临床重点专科数</t>
  </si>
  <si>
    <t>市州级级临床重点专科数</t>
  </si>
  <si>
    <t>国家级临床特色专科数</t>
  </si>
  <si>
    <t>省级临床特色专科数</t>
  </si>
  <si>
    <t>市州级临床特色专科数</t>
  </si>
  <si>
    <t>（1）申报科学研究项目（项）</t>
  </si>
  <si>
    <t>（2）获批科学研究项目（项）</t>
  </si>
  <si>
    <t>（3）申报教育教学改革项目（项）</t>
  </si>
  <si>
    <t>（4）获批教育教学改革项目（项）</t>
  </si>
  <si>
    <t>（1）科学研究论文（篇）</t>
  </si>
  <si>
    <t>（2）科学研究论文中SCI/SSCI论文（篇）</t>
  </si>
  <si>
    <t>（3）教育教学改革论文（篇）</t>
  </si>
  <si>
    <t>（4）教育教学改革论文中SCI/SSCI论文（篇）</t>
  </si>
  <si>
    <t>单位：门</t>
  </si>
  <si>
    <t>工号</t>
  </si>
  <si>
    <t>姓名</t>
  </si>
  <si>
    <t>职务</t>
  </si>
  <si>
    <t>学历</t>
  </si>
  <si>
    <t>最高学位</t>
  </si>
  <si>
    <t>卫技系列职称</t>
  </si>
  <si>
    <t>承担临床技能培训课时数（课时）</t>
  </si>
  <si>
    <t>占全院专业培训比例（%）</t>
  </si>
  <si>
    <t>主持教改项目（项）</t>
  </si>
  <si>
    <t>发表教学文章（篇）</t>
  </si>
  <si>
    <t>****</t>
  </si>
  <si>
    <t>张三</t>
  </si>
  <si>
    <t>临床技能中心主任</t>
  </si>
  <si>
    <t>硕士</t>
  </si>
  <si>
    <t>主任医师</t>
  </si>
  <si>
    <t>所在科室</t>
  </si>
  <si>
    <t>出生日期</t>
  </si>
  <si>
    <t>性别</t>
  </si>
  <si>
    <t>年龄（岁）</t>
  </si>
  <si>
    <t>毕业院校</t>
  </si>
  <si>
    <t>教学系列职称</t>
  </si>
  <si>
    <t>承担教学情况</t>
  </si>
  <si>
    <t>是否具备教师资格证</t>
  </si>
  <si>
    <t>是否是硕导</t>
  </si>
  <si>
    <t>是否博导</t>
  </si>
  <si>
    <t>男</t>
  </si>
  <si>
    <t>硕士研究生</t>
  </si>
  <si>
    <t>贵州医科大学</t>
  </si>
  <si>
    <t>教授</t>
  </si>
  <si>
    <t>理论教学</t>
  </si>
  <si>
    <t>填表说明：此表所指的师资培训，是指侧重于教学能力方面的师资培训，包括研究生导师的师资培训。</t>
  </si>
  <si>
    <t>所在部门/教研室/科室</t>
  </si>
  <si>
    <t>是否承担教学任务</t>
  </si>
  <si>
    <t>参加培训时间</t>
  </si>
  <si>
    <t>培训举办单位</t>
  </si>
  <si>
    <t>培训主题</t>
  </si>
  <si>
    <t>培训类型</t>
  </si>
  <si>
    <t>《病历书写》</t>
  </si>
  <si>
    <t>院内师资培训</t>
  </si>
  <si>
    <t>岗前培训类型</t>
  </si>
  <si>
    <t>开展时间</t>
  </si>
  <si>
    <t>地点</t>
  </si>
  <si>
    <t>举办部门</t>
  </si>
  <si>
    <t>培训老师</t>
  </si>
  <si>
    <t>培训对象</t>
  </si>
  <si>
    <t>培训内容</t>
  </si>
  <si>
    <t>入院岗前培训</t>
  </si>
  <si>
    <t>***</t>
  </si>
  <si>
    <t>临床教学部</t>
  </si>
  <si>
    <t>2023级临床专业实习生</t>
  </si>
  <si>
    <t>《医德医风·医疗核心制度·医疗安全与法律法规》</t>
  </si>
  <si>
    <t>所在教研室</t>
  </si>
  <si>
    <t>专业技术职称</t>
  </si>
  <si>
    <t>备注</t>
  </si>
  <si>
    <t>其他：请在备注栏填写科室名称</t>
  </si>
  <si>
    <t>教研室主任</t>
  </si>
  <si>
    <t>讲座级别</t>
  </si>
  <si>
    <t>院级</t>
  </si>
  <si>
    <t>管理人员类别</t>
  </si>
  <si>
    <r>
      <rPr>
        <sz val="12"/>
        <color rgb="FF000000"/>
        <rFont val="宋体"/>
        <charset val="0"/>
      </rPr>
      <t>所在部门</t>
    </r>
    <r>
      <rPr>
        <sz val="12"/>
        <color rgb="FF000000"/>
        <rFont val="Arial"/>
        <charset val="0"/>
      </rPr>
      <t>/</t>
    </r>
    <r>
      <rPr>
        <sz val="12"/>
        <color rgb="FF000000"/>
        <rFont val="宋体"/>
        <charset val="0"/>
      </rPr>
      <t>教研室</t>
    </r>
  </si>
  <si>
    <t>专职管理本科教学</t>
  </si>
  <si>
    <t>专业背景情况</t>
  </si>
  <si>
    <t>是否党员或预备党员</t>
  </si>
  <si>
    <t>教学管理人员</t>
  </si>
  <si>
    <t>本科</t>
  </si>
  <si>
    <t>学士</t>
  </si>
  <si>
    <t>临床医学背景</t>
  </si>
  <si>
    <t>参加时间</t>
  </si>
  <si>
    <t>学术交流、会议主办单位</t>
  </si>
  <si>
    <t>议题</t>
  </si>
  <si>
    <t>参赛/指导教师</t>
  </si>
  <si>
    <t>竞赛名称</t>
  </si>
  <si>
    <t>获奖情况</t>
  </si>
  <si>
    <t>级别</t>
  </si>
  <si>
    <t>获奖时间</t>
  </si>
  <si>
    <t>********</t>
  </si>
  <si>
    <t>一等奖</t>
  </si>
  <si>
    <t>国家级</t>
  </si>
  <si>
    <t>填表说明：填写教师参加、指导学生参加竞赛情况。</t>
  </si>
  <si>
    <t>获批项目名称</t>
  </si>
  <si>
    <t>项目类型</t>
  </si>
  <si>
    <t>主持人</t>
  </si>
  <si>
    <t>主持人工号</t>
  </si>
  <si>
    <t>立项时间</t>
  </si>
  <si>
    <t>经费（万元）</t>
  </si>
  <si>
    <t>参与教师数（人）</t>
  </si>
  <si>
    <t>********的应用研究</t>
  </si>
  <si>
    <t>科学研究项目</t>
  </si>
  <si>
    <t>*****</t>
  </si>
  <si>
    <t>自筹</t>
  </si>
  <si>
    <t>第一作者姓名</t>
  </si>
  <si>
    <t>论著名称</t>
  </si>
  <si>
    <t>论文类型</t>
  </si>
  <si>
    <t>发表期刊</t>
  </si>
  <si>
    <t>发表时间</t>
  </si>
  <si>
    <t>收录情况</t>
  </si>
  <si>
    <t>关于********的分析</t>
  </si>
  <si>
    <t>科学研究论文</t>
  </si>
  <si>
    <t>当代医学</t>
  </si>
  <si>
    <t>SCI</t>
  </si>
  <si>
    <t>获奖成果名称</t>
  </si>
  <si>
    <t>本人排名</t>
  </si>
  <si>
    <t>完成单位排名</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</si>
</sst>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409]yyyy\-mm\-dd;@"/>
    <numFmt numFmtId="178" formatCode="0.0_ "/>
    <numFmt numFmtId="179" formatCode="0.00_ "/>
  </numFmts>
  <fonts count="43">
    <font>
      <sz val="11"/>
      <color theme="1"/>
      <name val="宋体"/>
      <charset val="134"/>
      <scheme val="minor"/>
    </font>
    <font>
      <sz val="11"/>
      <color rgb="FFFF0000"/>
      <name val="仿宋"/>
      <charset val="134"/>
    </font>
    <font>
      <sz val="11"/>
      <color rgb="FFFF0000"/>
      <name val="宋体"/>
      <charset val="134"/>
      <scheme val="minor"/>
    </font>
    <font>
      <sz val="12"/>
      <name val="宋体"/>
      <charset val="0"/>
    </font>
    <font>
      <sz val="12"/>
      <name val="Arial"/>
      <charset val="0"/>
    </font>
    <font>
      <sz val="12"/>
      <name val="宋体"/>
      <charset val="134"/>
    </font>
    <font>
      <b/>
      <sz val="11"/>
      <color rgb="FFFF0000"/>
      <name val="仿宋"/>
      <charset val="134"/>
    </font>
    <font>
      <sz val="12"/>
      <color rgb="FF000000"/>
      <name val="Arial"/>
      <charset val="0"/>
    </font>
    <font>
      <sz val="12"/>
      <color rgb="FF000000"/>
      <name val="宋体"/>
      <charset val="0"/>
    </font>
    <font>
      <sz val="11"/>
      <color rgb="FFFF0000"/>
      <name val="仿宋_GB2312"/>
      <charset val="134"/>
    </font>
    <font>
      <sz val="10"/>
      <color theme="1"/>
      <name val="楷体"/>
      <charset val="134"/>
    </font>
    <font>
      <b/>
      <sz val="11"/>
      <color theme="1"/>
      <name val="宋体"/>
      <charset val="134"/>
      <scheme val="minor"/>
    </font>
    <font>
      <sz val="11"/>
      <name val="宋体"/>
      <charset val="134"/>
      <scheme val="minor"/>
    </font>
    <font>
      <sz val="10"/>
      <color rgb="FFFF0000"/>
      <name val="楷体"/>
      <charset val="134"/>
    </font>
    <font>
      <sz val="11"/>
      <color rgb="FFFF0000"/>
      <name val="华文仿宋"/>
      <charset val="134"/>
    </font>
    <font>
      <sz val="11"/>
      <color rgb="FFFF0000"/>
      <name val="宋体"/>
      <charset val="134"/>
    </font>
    <font>
      <sz val="14"/>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imes New Roman"/>
      <charset val="134"/>
    </font>
    <font>
      <vertAlign val="superscript"/>
      <sz val="11"/>
      <color theme="1"/>
      <name val="Times New Roman"/>
      <charset val="134"/>
    </font>
    <font>
      <sz val="11"/>
      <color theme="1"/>
      <name val="宋体"/>
      <charset val="134"/>
    </font>
    <font>
      <i/>
      <sz val="11"/>
      <color theme="1"/>
      <name val="Times New Roman"/>
      <charset val="134"/>
    </font>
    <font>
      <i/>
      <vertAlign val="superscript"/>
      <sz val="11"/>
      <color theme="1"/>
      <name val="Times New Roman"/>
      <charset val="134"/>
    </font>
    <font>
      <b/>
      <sz val="9"/>
      <name val="宋体"/>
      <charset val="134"/>
    </font>
    <font>
      <sz val="9"/>
      <name val="宋体"/>
      <charset val="134"/>
    </font>
  </fonts>
  <fills count="37">
    <fill>
      <patternFill patternType="none"/>
    </fill>
    <fill>
      <patternFill patternType="gray125"/>
    </fill>
    <fill>
      <patternFill patternType="solid">
        <fgColor theme="4" tint="0.6"/>
        <bgColor indexed="64"/>
      </patternFill>
    </fill>
    <fill>
      <patternFill patternType="solid">
        <fgColor theme="0"/>
        <bgColor indexed="64"/>
      </patternFill>
    </fill>
    <fill>
      <patternFill patternType="solid">
        <fgColor theme="4" tint="0.4"/>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6" borderId="1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7" applyNumberFormat="0" applyFill="0" applyAlignment="0" applyProtection="0">
      <alignment vertical="center"/>
    </xf>
    <xf numFmtId="0" fontId="23" fillId="0" borderId="17" applyNumberFormat="0" applyFill="0" applyAlignment="0" applyProtection="0">
      <alignment vertical="center"/>
    </xf>
    <xf numFmtId="0" fontId="24" fillId="0" borderId="18" applyNumberFormat="0" applyFill="0" applyAlignment="0" applyProtection="0">
      <alignment vertical="center"/>
    </xf>
    <xf numFmtId="0" fontId="24" fillId="0" borderId="0" applyNumberFormat="0" applyFill="0" applyBorder="0" applyAlignment="0" applyProtection="0">
      <alignment vertical="center"/>
    </xf>
    <xf numFmtId="0" fontId="25" fillId="7" borderId="19" applyNumberFormat="0" applyAlignment="0" applyProtection="0">
      <alignment vertical="center"/>
    </xf>
    <xf numFmtId="0" fontId="26" fillId="8" borderId="20" applyNumberFormat="0" applyAlignment="0" applyProtection="0">
      <alignment vertical="center"/>
    </xf>
    <xf numFmtId="0" fontId="27" fillId="8" borderId="19" applyNumberFormat="0" applyAlignment="0" applyProtection="0">
      <alignment vertical="center"/>
    </xf>
    <xf numFmtId="0" fontId="28" fillId="9" borderId="21" applyNumberFormat="0" applyAlignment="0" applyProtection="0">
      <alignment vertical="center"/>
    </xf>
    <xf numFmtId="0" fontId="29" fillId="0" borderId="22" applyNumberFormat="0" applyFill="0" applyAlignment="0" applyProtection="0">
      <alignment vertical="center"/>
    </xf>
    <xf numFmtId="0" fontId="30" fillId="0" borderId="23"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cellStyleXfs>
  <cellXfs count="134">
    <xf numFmtId="0" fontId="0" fillId="0" borderId="0" xfId="0">
      <alignment vertical="center"/>
    </xf>
    <xf numFmtId="0" fontId="0" fillId="2" borderId="0" xfId="0" applyFill="1">
      <alignment vertical="center"/>
    </xf>
    <xf numFmtId="176" fontId="0" fillId="2" borderId="0" xfId="0" applyNumberFormat="1" applyFill="1">
      <alignment vertical="center"/>
    </xf>
    <xf numFmtId="0" fontId="1" fillId="0" borderId="0" xfId="0" applyFont="1" applyAlignment="1">
      <alignment horizontal="center" vertical="center"/>
    </xf>
    <xf numFmtId="0" fontId="1" fillId="0" borderId="0" xfId="0" applyFont="1" applyAlignment="1">
      <alignment horizontal="left" vertical="center"/>
    </xf>
    <xf numFmtId="176" fontId="1" fillId="0" borderId="0" xfId="0" applyNumberFormat="1" applyFont="1" applyAlignment="1">
      <alignment horizontal="center" vertical="center"/>
    </xf>
    <xf numFmtId="176" fontId="0" fillId="0" borderId="0" xfId="0" applyNumberFormat="1">
      <alignment vertical="center"/>
    </xf>
    <xf numFmtId="176" fontId="1" fillId="0" borderId="0" xfId="0" applyNumberFormat="1" applyFont="1" applyAlignment="1">
      <alignment horizontal="left" vertical="center"/>
    </xf>
    <xf numFmtId="0" fontId="2" fillId="0" borderId="0" xfId="0" applyFont="1">
      <alignment vertical="center"/>
    </xf>
    <xf numFmtId="0" fontId="3" fillId="2" borderId="0" xfId="0" applyNumberFormat="1" applyFont="1" applyFill="1" applyBorder="1" applyAlignment="1">
      <alignment horizontal="center"/>
    </xf>
    <xf numFmtId="0" fontId="4" fillId="2" borderId="0" xfId="0" applyNumberFormat="1" applyFont="1" applyFill="1" applyBorder="1" applyAlignment="1">
      <alignment horizontal="center"/>
    </xf>
    <xf numFmtId="0" fontId="3" fillId="2" borderId="0" xfId="0" applyNumberFormat="1" applyFont="1" applyFill="1" applyAlignment="1">
      <alignment horizontal="center"/>
    </xf>
    <xf numFmtId="0" fontId="0" fillId="2" borderId="0" xfId="0" applyFill="1" applyAlignment="1">
      <alignment horizontal="center" vertical="center"/>
    </xf>
    <xf numFmtId="177" fontId="1" fillId="0" borderId="0" xfId="0" applyNumberFormat="1" applyFont="1" applyAlignment="1">
      <alignment horizontal="center" vertical="center"/>
    </xf>
    <xf numFmtId="0" fontId="5" fillId="3" borderId="0" xfId="0" applyFont="1" applyFill="1" applyBorder="1" applyAlignment="1">
      <alignment vertical="center"/>
    </xf>
    <xf numFmtId="0" fontId="0" fillId="0" borderId="0" xfId="0" applyAlignment="1">
      <alignment horizontal="center" vertical="center"/>
    </xf>
    <xf numFmtId="0" fontId="3" fillId="2" borderId="0" xfId="0" applyNumberFormat="1" applyFont="1" applyFill="1" applyBorder="1" applyAlignment="1">
      <alignment horizontal="left" vertical="center"/>
    </xf>
    <xf numFmtId="176" fontId="0" fillId="2" borderId="0" xfId="0" applyNumberFormat="1" applyFill="1" applyAlignment="1">
      <alignment horizontal="center" vertical="center"/>
    </xf>
    <xf numFmtId="0" fontId="6" fillId="0" borderId="0" xfId="0" applyFont="1" applyAlignment="1">
      <alignment horizontal="left" vertical="center"/>
    </xf>
    <xf numFmtId="0" fontId="7" fillId="2" borderId="0" xfId="0" applyFont="1" applyFill="1" applyBorder="1" applyAlignment="1">
      <alignment horizontal="center"/>
    </xf>
    <xf numFmtId="0" fontId="5" fillId="2" borderId="0" xfId="0" applyNumberFormat="1" applyFont="1" applyFill="1" applyBorder="1" applyAlignment="1">
      <alignment horizontal="center"/>
    </xf>
    <xf numFmtId="0" fontId="5" fillId="2" borderId="0" xfId="0" applyFont="1" applyFill="1" applyBorder="1" applyAlignment="1">
      <alignment vertical="center"/>
    </xf>
    <xf numFmtId="0" fontId="3" fillId="2" borderId="0" xfId="0" applyNumberFormat="1" applyFont="1" applyFill="1" applyBorder="1" applyAlignment="1">
      <alignment horizontal="center" vertical="center"/>
    </xf>
    <xf numFmtId="14" fontId="1" fillId="0" borderId="0" xfId="0" applyNumberFormat="1" applyFont="1" applyAlignment="1">
      <alignment horizontal="center" vertical="center"/>
    </xf>
    <xf numFmtId="0" fontId="4" fillId="2" borderId="0" xfId="0" applyNumberFormat="1" applyFont="1" applyFill="1" applyBorder="1" applyAlignment="1">
      <alignment horizontal="left" vertical="center"/>
    </xf>
    <xf numFmtId="0" fontId="8" fillId="2" borderId="0" xfId="0" applyNumberFormat="1" applyFont="1" applyFill="1" applyBorder="1" applyAlignment="1">
      <alignment horizontal="left" vertical="center"/>
    </xf>
    <xf numFmtId="0" fontId="7" fillId="2" borderId="0" xfId="0" applyFont="1" applyFill="1" applyBorder="1" applyAlignment="1">
      <alignment horizontal="left" vertical="center"/>
    </xf>
    <xf numFmtId="0" fontId="5" fillId="2" borderId="0" xfId="0" applyNumberFormat="1" applyFont="1" applyFill="1" applyBorder="1" applyAlignment="1">
      <alignment horizontal="left" vertical="center"/>
    </xf>
    <xf numFmtId="0" fontId="5" fillId="2" borderId="0" xfId="0" applyFont="1" applyFill="1" applyBorder="1" applyAlignment="1">
      <alignment horizontal="left" vertical="center"/>
    </xf>
    <xf numFmtId="49" fontId="0" fillId="4" borderId="1" xfId="0" applyNumberFormat="1" applyFill="1" applyBorder="1" applyAlignment="1">
      <alignment horizontal="center"/>
    </xf>
    <xf numFmtId="0" fontId="0" fillId="0" borderId="1" xfId="0" applyBorder="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3" borderId="1" xfId="0" applyFill="1"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horizontal="center" vertical="center"/>
    </xf>
    <xf numFmtId="0" fontId="0" fillId="0" borderId="8" xfId="0"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7" xfId="0" applyBorder="1" applyAlignment="1">
      <alignment horizontal="center" vertical="center" wrapText="1"/>
    </xf>
    <xf numFmtId="0" fontId="9" fillId="0" borderId="0" xfId="0" applyFont="1" applyFill="1" applyAlignment="1">
      <alignment horizontal="center" vertical="center"/>
    </xf>
    <xf numFmtId="0" fontId="9" fillId="0" borderId="0" xfId="0" applyFont="1" applyAlignment="1">
      <alignment horizontal="center" vertical="center"/>
    </xf>
    <xf numFmtId="0" fontId="9" fillId="0" borderId="0" xfId="0" applyFont="1">
      <alignment vertical="center"/>
    </xf>
    <xf numFmtId="0" fontId="10" fillId="0" borderId="0" xfId="0" applyFont="1" applyFill="1" applyAlignment="1">
      <alignment horizontal="left"/>
    </xf>
    <xf numFmtId="0" fontId="10" fillId="0" borderId="0" xfId="0" applyFont="1" applyFill="1" applyAlignment="1">
      <alignment horizontal="center"/>
    </xf>
    <xf numFmtId="0" fontId="11" fillId="0" borderId="0" xfId="0" applyFont="1">
      <alignment vertical="center"/>
    </xf>
    <xf numFmtId="0" fontId="2" fillId="0" borderId="0" xfId="0" applyFont="1" applyAlignment="1">
      <alignment horizontal="left" vertical="center" wrapText="1"/>
    </xf>
    <xf numFmtId="0" fontId="0" fillId="0" borderId="0" xfId="0" applyAlignment="1">
      <alignment horizontal="left" vertical="center"/>
    </xf>
    <xf numFmtId="49" fontId="12" fillId="4" borderId="1" xfId="0" applyNumberFormat="1" applyFont="1" applyFill="1" applyBorder="1" applyAlignment="1">
      <alignment horizontal="center"/>
    </xf>
    <xf numFmtId="0" fontId="0" fillId="0" borderId="1" xfId="0" applyFont="1" applyBorder="1" applyAlignment="1">
      <alignment horizontal="center" vertical="center" wrapText="1"/>
    </xf>
    <xf numFmtId="0" fontId="0" fillId="0" borderId="1" xfId="0" applyFont="1" applyBorder="1" applyAlignment="1">
      <alignment vertical="center" wrapText="1"/>
    </xf>
    <xf numFmtId="0" fontId="0" fillId="5" borderId="5" xfId="0" applyFill="1" applyBorder="1" applyAlignment="1">
      <alignment horizontal="center" vertical="center"/>
    </xf>
    <xf numFmtId="0" fontId="0" fillId="5" borderId="1" xfId="0" applyFill="1" applyBorder="1" applyAlignment="1">
      <alignment horizontal="center" vertical="center"/>
    </xf>
    <xf numFmtId="0" fontId="0" fillId="5" borderId="5" xfId="0" applyFill="1" applyBorder="1" applyAlignment="1">
      <alignment vertical="center"/>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10" xfId="0" applyBorder="1" applyAlignment="1">
      <alignment horizontal="center" vertical="center" wrapText="1"/>
    </xf>
    <xf numFmtId="0" fontId="0" fillId="0" borderId="5" xfId="0" applyBorder="1">
      <alignment vertical="center"/>
    </xf>
    <xf numFmtId="0" fontId="0" fillId="0" borderId="5" xfId="0" applyBorder="1" applyAlignment="1">
      <alignment vertical="center" wrapText="1"/>
    </xf>
    <xf numFmtId="0" fontId="0" fillId="0" borderId="1" xfId="0" applyBorder="1">
      <alignment vertical="center"/>
    </xf>
    <xf numFmtId="0" fontId="1" fillId="0" borderId="0" xfId="0" applyFont="1" applyFill="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xf>
    <xf numFmtId="0" fontId="0" fillId="0" borderId="4" xfId="0" applyFont="1" applyBorder="1" applyAlignment="1">
      <alignment horizontal="center" vertical="center" wrapText="1"/>
    </xf>
    <xf numFmtId="0" fontId="0" fillId="0" borderId="11" xfId="0" applyFont="1" applyBorder="1" applyAlignment="1">
      <alignment horizontal="center" vertical="center" wrapText="1"/>
    </xf>
    <xf numFmtId="176" fontId="0" fillId="0" borderId="12" xfId="0" applyNumberForma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176" fontId="0" fillId="0" borderId="13" xfId="0" applyNumberFormat="1" applyBorder="1" applyAlignment="1">
      <alignment horizontal="center" vertical="center" wrapText="1"/>
    </xf>
    <xf numFmtId="0" fontId="0" fillId="0" borderId="0" xfId="0" applyFill="1" applyAlignment="1"/>
    <xf numFmtId="178" fontId="0" fillId="0" borderId="0" xfId="0" applyNumberFormat="1">
      <alignment vertical="center"/>
    </xf>
    <xf numFmtId="49" fontId="0" fillId="4" borderId="2" xfId="0" applyNumberFormat="1" applyFill="1" applyBorder="1" applyAlignment="1">
      <alignment horizontal="center" vertical="center"/>
    </xf>
    <xf numFmtId="0" fontId="0" fillId="0" borderId="14" xfId="0" applyFill="1" applyBorder="1" applyAlignment="1">
      <alignment horizontal="center" vertical="center"/>
    </xf>
    <xf numFmtId="0" fontId="0" fillId="0" borderId="1" xfId="0" applyFill="1" applyBorder="1" applyAlignment="1">
      <alignment horizontal="center" vertical="center" wrapText="1"/>
    </xf>
    <xf numFmtId="0" fontId="0" fillId="0" borderId="4"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9" xfId="0" applyFill="1" applyBorder="1" applyAlignment="1">
      <alignment horizontal="center" vertical="center" wrapText="1"/>
    </xf>
    <xf numFmtId="0" fontId="0" fillId="5" borderId="1" xfId="0" applyFill="1" applyBorder="1" applyAlignment="1">
      <alignment horizontal="left" vertical="center"/>
    </xf>
    <xf numFmtId="0" fontId="0" fillId="5" borderId="1" xfId="0" applyFill="1" applyBorder="1" applyAlignment="1">
      <alignment horizontal="center" vertical="center" wrapText="1"/>
    </xf>
    <xf numFmtId="0" fontId="0" fillId="0" borderId="8" xfId="0" applyFill="1" applyBorder="1" applyAlignment="1">
      <alignment horizontal="center" vertical="center"/>
    </xf>
    <xf numFmtId="0" fontId="0" fillId="0" borderId="1" xfId="0" applyFont="1" applyBorder="1">
      <alignment vertical="center"/>
    </xf>
    <xf numFmtId="0" fontId="0" fillId="0" borderId="7" xfId="0" applyFill="1" applyBorder="1" applyAlignment="1">
      <alignment horizontal="center" vertical="center" wrapText="1"/>
    </xf>
    <xf numFmtId="0" fontId="0" fillId="0" borderId="8" xfId="0" applyFill="1" applyBorder="1" applyAlignment="1">
      <alignment horizontal="center" vertical="center" wrapText="1"/>
    </xf>
    <xf numFmtId="0" fontId="0" fillId="0" borderId="10" xfId="0" applyFill="1" applyBorder="1" applyAlignment="1">
      <alignment horizontal="center" vertical="center" wrapText="1"/>
    </xf>
    <xf numFmtId="178" fontId="0" fillId="0" borderId="7" xfId="0" applyNumberFormat="1" applyFill="1" applyBorder="1" applyAlignment="1">
      <alignment horizontal="center" vertical="center" wrapText="1"/>
    </xf>
    <xf numFmtId="0" fontId="0" fillId="0" borderId="1" xfId="0" applyFill="1" applyBorder="1" applyAlignment="1">
      <alignment horizontal="center" vertical="center"/>
    </xf>
    <xf numFmtId="0" fontId="14" fillId="0" borderId="0" xfId="0" applyFont="1" applyFill="1" applyAlignment="1">
      <alignment horizontal="center"/>
    </xf>
    <xf numFmtId="0" fontId="2" fillId="0" borderId="0" xfId="0" applyFont="1" applyAlignment="1">
      <alignment horizontal="center" vertical="center"/>
    </xf>
    <xf numFmtId="178" fontId="14" fillId="0" borderId="0" xfId="0" applyNumberFormat="1" applyFont="1" applyFill="1" applyAlignment="1">
      <alignment horizontal="center"/>
    </xf>
    <xf numFmtId="49" fontId="0" fillId="0" borderId="0" xfId="0" applyNumberFormat="1" applyFill="1" applyAlignment="1"/>
    <xf numFmtId="0" fontId="0" fillId="5" borderId="14" xfId="0" applyNumberFormat="1" applyFill="1" applyBorder="1" applyAlignment="1">
      <alignment horizontal="center" vertical="center"/>
    </xf>
    <xf numFmtId="0" fontId="0" fillId="5" borderId="0" xfId="0" applyNumberFormat="1" applyFill="1" applyAlignment="1">
      <alignment horizontal="center" vertical="center"/>
    </xf>
    <xf numFmtId="176" fontId="0" fillId="0" borderId="1" xfId="0" applyNumberFormat="1" applyBorder="1" applyAlignment="1">
      <alignment horizontal="center" vertical="center" wrapText="1"/>
    </xf>
    <xf numFmtId="176" fontId="0" fillId="0" borderId="7" xfId="0" applyNumberFormat="1" applyBorder="1" applyAlignment="1">
      <alignment horizontal="center" vertical="center" wrapText="1"/>
    </xf>
    <xf numFmtId="0" fontId="0" fillId="0" borderId="10" xfId="0" applyBorder="1" applyAlignment="1">
      <alignment horizontal="left" vertical="center" wrapText="1"/>
    </xf>
    <xf numFmtId="0" fontId="0" fillId="0" borderId="7" xfId="0" applyBorder="1" applyAlignment="1">
      <alignment horizontal="left" vertical="center" wrapText="1"/>
    </xf>
    <xf numFmtId="49" fontId="1" fillId="0" borderId="0" xfId="0" applyNumberFormat="1" applyFont="1" applyAlignment="1">
      <alignment horizontal="center" vertical="center"/>
    </xf>
    <xf numFmtId="0" fontId="1" fillId="0" borderId="0" xfId="0" applyFont="1">
      <alignment vertical="center"/>
    </xf>
    <xf numFmtId="14" fontId="1" fillId="0" borderId="0" xfId="0" applyNumberFormat="1" applyFont="1">
      <alignment vertical="center"/>
    </xf>
    <xf numFmtId="0" fontId="13" fillId="0" borderId="0" xfId="0" applyFont="1" applyFill="1" applyAlignment="1">
      <alignment horizontal="left"/>
    </xf>
    <xf numFmtId="179" fontId="13" fillId="0" borderId="0" xfId="0" applyNumberFormat="1" applyFont="1" applyFill="1" applyAlignment="1">
      <alignment horizontal="left" wrapText="1"/>
    </xf>
    <xf numFmtId="0" fontId="0" fillId="0" borderId="0" xfId="0" applyBorder="1" applyAlignment="1">
      <alignment horizontal="left" vertical="center" wrapText="1"/>
    </xf>
    <xf numFmtId="0" fontId="15" fillId="0" borderId="0" xfId="0" applyFont="1" applyFill="1" applyAlignment="1">
      <alignment horizontal="left" vertical="center" wrapText="1"/>
    </xf>
    <xf numFmtId="0" fontId="0" fillId="0" borderId="1" xfId="0" applyFont="1" applyFill="1" applyBorder="1" applyAlignment="1">
      <alignment horizontal="center" vertical="center" wrapText="1"/>
    </xf>
    <xf numFmtId="0" fontId="0" fillId="0" borderId="11" xfId="0" applyFont="1" applyFill="1" applyBorder="1" applyAlignment="1">
      <alignment horizontal="center" vertical="center" wrapText="1"/>
    </xf>
    <xf numFmtId="0" fontId="0" fillId="0" borderId="2" xfId="0" applyFill="1" applyBorder="1" applyAlignment="1">
      <alignment horizontal="left" vertical="center"/>
    </xf>
    <xf numFmtId="0" fontId="0" fillId="0" borderId="3" xfId="0" applyFill="1" applyBorder="1" applyAlignment="1">
      <alignment horizontal="left" vertical="center"/>
    </xf>
    <xf numFmtId="0" fontId="0" fillId="0" borderId="3" xfId="0" applyFill="1" applyBorder="1" applyAlignment="1">
      <alignment vertical="center"/>
    </xf>
    <xf numFmtId="0" fontId="0" fillId="0" borderId="3" xfId="0" applyFont="1" applyFill="1" applyBorder="1" applyAlignment="1">
      <alignment horizontal="center" vertical="center" wrapText="1"/>
    </xf>
    <xf numFmtId="0" fontId="0" fillId="0" borderId="2"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 xfId="0" applyFill="1" applyBorder="1" applyAlignment="1">
      <alignment horizontal="left" vertical="center" wrapText="1"/>
    </xf>
    <xf numFmtId="0" fontId="0" fillId="0" borderId="0" xfId="0" applyFill="1" applyBorder="1" applyAlignment="1"/>
    <xf numFmtId="0" fontId="0" fillId="0" borderId="15" xfId="0" applyFill="1" applyBorder="1" applyAlignment="1"/>
    <xf numFmtId="0" fontId="0" fillId="0" borderId="12" xfId="0" applyFill="1" applyBorder="1" applyAlignment="1">
      <alignment horizontal="center" vertical="center" wrapText="1"/>
    </xf>
    <xf numFmtId="0" fontId="0" fillId="0" borderId="8" xfId="0" applyFont="1" applyFill="1" applyBorder="1" applyAlignment="1">
      <alignment horizontal="center" vertical="center" wrapText="1"/>
    </xf>
    <xf numFmtId="0" fontId="0" fillId="0" borderId="2" xfId="0" applyFill="1" applyBorder="1" applyAlignment="1">
      <alignment horizontal="center" vertical="center"/>
    </xf>
    <xf numFmtId="0" fontId="0" fillId="0" borderId="5" xfId="0" applyFill="1" applyBorder="1" applyAlignment="1">
      <alignment horizontal="center" vertical="center"/>
    </xf>
    <xf numFmtId="0" fontId="0" fillId="0" borderId="2" xfId="0" applyFont="1" applyFill="1" applyBorder="1" applyAlignment="1">
      <alignment horizontal="center" vertical="center" wrapText="1"/>
    </xf>
    <xf numFmtId="0" fontId="2" fillId="0" borderId="1" xfId="0" applyFont="1" applyFill="1" applyBorder="1" applyAlignment="1">
      <alignment vertical="center"/>
    </xf>
    <xf numFmtId="0" fontId="16" fillId="0" borderId="1" xfId="0" applyFont="1" applyFill="1" applyBorder="1" applyAlignment="1">
      <alignment vertical="center"/>
    </xf>
    <xf numFmtId="0" fontId="0" fillId="0" borderId="13" xfId="0" applyFill="1" applyBorder="1" applyAlignment="1">
      <alignment horizontal="center" vertical="center" wrapText="1"/>
    </xf>
    <xf numFmtId="0" fontId="14" fillId="0" borderId="0" xfId="0" applyFont="1" applyFill="1" applyAlignment="1">
      <alignment horizontal="center" vertical="center"/>
    </xf>
    <xf numFmtId="179" fontId="13" fillId="0" borderId="0" xfId="0" applyNumberFormat="1" applyFont="1" applyFill="1" applyAlignment="1" quotePrefix="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eetMetadata" Target="metadata.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3"/>
  <sheetViews>
    <sheetView topLeftCell="BH2" workbookViewId="0">
      <selection activeCell="BJ42" sqref="BJ42"/>
    </sheetView>
  </sheetViews>
  <sheetFormatPr defaultColWidth="9" defaultRowHeight="13.5"/>
  <cols>
    <col min="1" max="1" width="15.25" style="80" customWidth="1"/>
    <col min="2" max="2" width="11.125" style="80" customWidth="1"/>
    <col min="3" max="3" width="13.875" style="80" customWidth="1"/>
    <col min="4" max="4" width="9" style="80"/>
    <col min="5" max="8" width="9.625" style="80" customWidth="1"/>
    <col min="9" max="12" width="11.375" style="80" customWidth="1"/>
    <col min="13" max="13" width="17" style="80" customWidth="1"/>
    <col min="14" max="14" width="14.875" style="80" customWidth="1"/>
    <col min="15" max="15" width="11.375" style="80" customWidth="1"/>
    <col min="16" max="16" width="12.125" style="80" customWidth="1"/>
    <col min="17" max="20" width="15.25" style="80" customWidth="1"/>
    <col min="21" max="21" width="10.75" style="80" customWidth="1"/>
    <col min="22" max="23" width="10.625" style="80" customWidth="1"/>
    <col min="24" max="24" width="12.25" style="80" customWidth="1"/>
    <col min="25" max="26" width="10.875" style="80" customWidth="1"/>
    <col min="27" max="27" width="12.5" style="80" customWidth="1"/>
    <col min="28" max="28" width="10" style="80" customWidth="1"/>
    <col min="29" max="29" width="11.875" style="80" customWidth="1"/>
    <col min="30" max="32" width="10.875" style="80" customWidth="1"/>
    <col min="33" max="36" width="10.25" style="80" customWidth="1"/>
    <col min="37" max="48" width="10.75" style="80" customWidth="1"/>
    <col min="49" max="49" width="14.375" style="80" customWidth="1"/>
    <col min="50" max="51" width="12.625" style="80" customWidth="1"/>
    <col min="52" max="53" width="10.75" style="80" customWidth="1"/>
    <col min="54" max="54" width="17" style="80" customWidth="1"/>
    <col min="55" max="55" width="9" style="80" customWidth="1"/>
    <col min="56" max="62" width="10.75" style="80" customWidth="1"/>
    <col min="63" max="63" width="13" style="80" customWidth="1"/>
    <col min="64" max="64" width="15.75" style="80" customWidth="1"/>
    <col min="65" max="16298" width="9" style="80"/>
    <col min="16300" max="16384" width="9" style="80"/>
  </cols>
  <sheetData>
    <row r="1" s="80" customFormat="1" ht="70" customHeight="1" spans="1:64">
      <c r="A1" s="113" t="s">
        <v>0</v>
      </c>
      <c r="B1" s="113"/>
      <c r="C1" s="113"/>
      <c r="D1" s="80"/>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c r="BI1" s="113"/>
      <c r="BJ1" s="113"/>
    </row>
    <row r="2" s="100" customFormat="1" ht="20" customHeight="1" spans="1:64">
      <c r="A2" s="82" t="s">
        <v>1</v>
      </c>
      <c r="B2" s="82" t="s">
        <v>2</v>
      </c>
      <c r="C2" s="82" t="s">
        <v>3</v>
      </c>
      <c r="D2" s="82" t="s">
        <v>4</v>
      </c>
      <c r="E2" s="82" t="s">
        <v>5</v>
      </c>
      <c r="F2" s="82" t="s">
        <v>6</v>
      </c>
      <c r="G2" s="82" t="s">
        <v>7</v>
      </c>
      <c r="H2" s="82" t="s">
        <v>8</v>
      </c>
      <c r="I2" s="82" t="s">
        <v>9</v>
      </c>
      <c r="J2" s="82" t="s">
        <v>10</v>
      </c>
      <c r="K2" s="82" t="s">
        <v>11</v>
      </c>
      <c r="L2" s="82" t="s">
        <v>12</v>
      </c>
      <c r="M2" s="82" t="s">
        <v>13</v>
      </c>
      <c r="N2" s="82" t="s">
        <v>14</v>
      </c>
      <c r="O2" s="82" t="s">
        <v>15</v>
      </c>
      <c r="P2" s="82" t="s">
        <v>16</v>
      </c>
      <c r="Q2" s="82" t="s">
        <v>17</v>
      </c>
      <c r="R2" s="82" t="s">
        <v>18</v>
      </c>
      <c r="S2" s="82" t="s">
        <v>19</v>
      </c>
      <c r="T2" s="82" t="s">
        <v>20</v>
      </c>
      <c r="U2" s="82" t="s">
        <v>21</v>
      </c>
      <c r="V2" s="82" t="s">
        <v>22</v>
      </c>
      <c r="W2" s="82" t="s">
        <v>23</v>
      </c>
      <c r="X2" s="82" t="s">
        <v>24</v>
      </c>
      <c r="Y2" s="82" t="s">
        <v>25</v>
      </c>
      <c r="Z2" s="82" t="s">
        <v>26</v>
      </c>
      <c r="AA2" s="82" t="s">
        <v>27</v>
      </c>
      <c r="AB2" s="82" t="s">
        <v>28</v>
      </c>
      <c r="AC2" s="82" t="s">
        <v>29</v>
      </c>
      <c r="AD2" s="82" t="s">
        <v>30</v>
      </c>
      <c r="AE2" s="82" t="s">
        <v>31</v>
      </c>
      <c r="AF2" s="82" t="s">
        <v>32</v>
      </c>
      <c r="AG2" s="82" t="s">
        <v>33</v>
      </c>
      <c r="AH2" s="82" t="s">
        <v>34</v>
      </c>
      <c r="AI2" s="82" t="s">
        <v>35</v>
      </c>
      <c r="AJ2" s="82" t="s">
        <v>36</v>
      </c>
      <c r="AK2" s="82" t="s">
        <v>37</v>
      </c>
      <c r="AL2" s="82" t="s">
        <v>38</v>
      </c>
      <c r="AM2" s="82" t="s">
        <v>39</v>
      </c>
      <c r="AN2" s="82" t="s">
        <v>40</v>
      </c>
      <c r="AO2" s="82" t="s">
        <v>41</v>
      </c>
      <c r="AP2" s="82" t="s">
        <v>42</v>
      </c>
      <c r="AQ2" s="82" t="s">
        <v>43</v>
      </c>
      <c r="AR2" s="82" t="s">
        <v>44</v>
      </c>
      <c r="AS2" s="82" t="s">
        <v>45</v>
      </c>
      <c r="AT2" s="82" t="s">
        <v>46</v>
      </c>
      <c r="AU2" s="82" t="s">
        <v>47</v>
      </c>
      <c r="AV2" s="82" t="s">
        <v>48</v>
      </c>
      <c r="AW2" s="82" t="s">
        <v>49</v>
      </c>
      <c r="AX2" s="82" t="s">
        <v>50</v>
      </c>
      <c r="AY2" s="82" t="s">
        <v>51</v>
      </c>
      <c r="AZ2" s="82" t="s">
        <v>52</v>
      </c>
      <c r="BA2" s="82" t="s">
        <v>53</v>
      </c>
      <c r="BB2" s="82" t="s">
        <v>54</v>
      </c>
      <c r="BC2" s="82" t="s">
        <v>55</v>
      </c>
      <c r="BD2" s="82" t="s">
        <v>56</v>
      </c>
      <c r="BE2" s="82" t="s">
        <v>57</v>
      </c>
      <c r="BF2" s="82" t="s">
        <v>58</v>
      </c>
      <c r="BG2" s="82" t="s">
        <v>59</v>
      </c>
      <c r="BH2" s="82" t="s">
        <v>60</v>
      </c>
      <c r="BI2" s="82" t="s">
        <v>61</v>
      </c>
      <c r="BJ2" s="82" t="s">
        <v>62</v>
      </c>
      <c r="BK2" s="82" t="s">
        <v>63</v>
      </c>
      <c r="BL2" s="82" t="s">
        <v>64</v>
      </c>
    </row>
    <row r="3" s="80" customFormat="1" ht="18" customHeight="1" spans="1:64">
      <c r="A3" s="83" t="s">
        <v>65</v>
      </c>
      <c r="B3" s="83" t="s">
        <v>66</v>
      </c>
      <c r="C3" s="96" t="s">
        <v>67</v>
      </c>
      <c r="D3" s="96" t="s">
        <v>68</v>
      </c>
      <c r="E3" s="114" t="s">
        <v>69</v>
      </c>
      <c r="F3" s="114" t="s">
        <v>70</v>
      </c>
      <c r="G3" s="114" t="s">
        <v>71</v>
      </c>
      <c r="H3" s="114" t="s">
        <v>72</v>
      </c>
      <c r="I3" s="115" t="s">
        <v>73</v>
      </c>
      <c r="J3" s="115" t="s">
        <v>74</v>
      </c>
      <c r="K3" s="115" t="s">
        <v>75</v>
      </c>
      <c r="L3" s="115" t="s">
        <v>76</v>
      </c>
      <c r="M3" s="116" t="s">
        <v>77</v>
      </c>
      <c r="N3" s="117"/>
      <c r="O3" s="84" t="s">
        <v>78</v>
      </c>
      <c r="P3" s="84" t="s">
        <v>79</v>
      </c>
      <c r="Q3" s="116" t="s">
        <v>77</v>
      </c>
      <c r="R3" s="117"/>
      <c r="S3" s="117"/>
      <c r="T3" s="117"/>
      <c r="U3" s="96" t="s">
        <v>80</v>
      </c>
      <c r="V3" s="118" t="s">
        <v>77</v>
      </c>
      <c r="W3" s="118"/>
      <c r="X3" s="118"/>
      <c r="Y3" s="118"/>
      <c r="Z3" s="114" t="s">
        <v>81</v>
      </c>
      <c r="AA3" s="117" t="s">
        <v>77</v>
      </c>
      <c r="AB3" s="117"/>
      <c r="AC3" s="117"/>
      <c r="AD3" s="119"/>
      <c r="AE3" s="119"/>
      <c r="AF3" s="114" t="s">
        <v>82</v>
      </c>
      <c r="AG3" s="117" t="s">
        <v>77</v>
      </c>
      <c r="AH3" s="117"/>
      <c r="AI3" s="117"/>
      <c r="AJ3" s="84" t="s">
        <v>83</v>
      </c>
      <c r="AK3" s="84" t="s">
        <v>84</v>
      </c>
      <c r="AL3" s="84" t="s">
        <v>85</v>
      </c>
      <c r="AM3" s="120" t="s">
        <v>77</v>
      </c>
      <c r="AN3" s="121"/>
      <c r="AO3" s="84" t="s">
        <v>86</v>
      </c>
      <c r="AP3" s="84" t="s">
        <v>87</v>
      </c>
      <c r="AQ3" s="84" t="s">
        <v>88</v>
      </c>
      <c r="AR3" s="84" t="s">
        <v>89</v>
      </c>
      <c r="AS3" s="84" t="s">
        <v>90</v>
      </c>
      <c r="AT3" s="84" t="s">
        <v>91</v>
      </c>
      <c r="AU3" s="85" t="s">
        <v>92</v>
      </c>
      <c r="AV3" s="85" t="s">
        <v>93</v>
      </c>
      <c r="AW3" s="86" t="s">
        <v>94</v>
      </c>
      <c r="AX3" s="122" t="s">
        <v>77</v>
      </c>
      <c r="AY3" s="122"/>
      <c r="AZ3" s="84" t="s">
        <v>95</v>
      </c>
      <c r="BA3" s="123" t="s">
        <v>96</v>
      </c>
      <c r="BB3" s="123"/>
      <c r="BC3" s="123"/>
      <c r="BD3" s="123"/>
      <c r="BE3" s="123"/>
      <c r="BF3" s="123"/>
      <c r="BG3" s="124"/>
      <c r="BH3" s="84" t="s">
        <v>97</v>
      </c>
      <c r="BI3" s="125" t="s">
        <v>98</v>
      </c>
      <c r="BJ3" s="84" t="s">
        <v>99</v>
      </c>
      <c r="BK3" s="87" t="s">
        <v>100</v>
      </c>
      <c r="BL3" s="87" t="s">
        <v>101</v>
      </c>
    </row>
    <row r="4" s="80" customFormat="1" ht="27" spans="1:64">
      <c r="A4" s="90"/>
      <c r="B4" s="90"/>
      <c r="C4" s="96"/>
      <c r="D4" s="96"/>
      <c r="E4" s="114"/>
      <c r="F4" s="114"/>
      <c r="G4" s="114"/>
      <c r="H4" s="114"/>
      <c r="I4" s="126"/>
      <c r="J4" s="126"/>
      <c r="K4" s="126"/>
      <c r="L4" s="126"/>
      <c r="M4" s="84" t="s">
        <v>102</v>
      </c>
      <c r="N4" s="120" t="s">
        <v>103</v>
      </c>
      <c r="O4" s="84"/>
      <c r="P4" s="84"/>
      <c r="Q4" s="96" t="s">
        <v>104</v>
      </c>
      <c r="R4" s="96" t="s">
        <v>105</v>
      </c>
      <c r="S4" s="96" t="s">
        <v>106</v>
      </c>
      <c r="T4" s="127" t="s">
        <v>107</v>
      </c>
      <c r="U4" s="96"/>
      <c r="V4" s="128" t="s">
        <v>108</v>
      </c>
      <c r="W4" s="96" t="s">
        <v>109</v>
      </c>
      <c r="X4" s="96" t="s">
        <v>110</v>
      </c>
      <c r="Y4" s="127" t="s">
        <v>111</v>
      </c>
      <c r="Z4" s="114"/>
      <c r="AA4" s="129" t="s">
        <v>112</v>
      </c>
      <c r="AB4" s="129" t="s">
        <v>113</v>
      </c>
      <c r="AC4" s="129" t="s">
        <v>114</v>
      </c>
      <c r="AD4" s="129" t="s">
        <v>115</v>
      </c>
      <c r="AE4" s="129" t="s">
        <v>116</v>
      </c>
      <c r="AF4" s="114"/>
      <c r="AG4" s="129" t="s">
        <v>117</v>
      </c>
      <c r="AH4" s="129" t="s">
        <v>118</v>
      </c>
      <c r="AI4" s="129" t="s">
        <v>119</v>
      </c>
      <c r="AJ4" s="84"/>
      <c r="AK4" s="84"/>
      <c r="AL4" s="84"/>
      <c r="AM4" s="84" t="s">
        <v>120</v>
      </c>
      <c r="AN4" s="84" t="s">
        <v>121</v>
      </c>
      <c r="AO4" s="84"/>
      <c r="AP4" s="84"/>
      <c r="AQ4" s="84"/>
      <c r="AR4" s="84"/>
      <c r="AS4" s="84"/>
      <c r="AT4" s="84"/>
      <c r="AU4" s="92"/>
      <c r="AV4" s="92"/>
      <c r="AW4" s="93"/>
      <c r="AX4" s="84" t="s">
        <v>122</v>
      </c>
      <c r="AY4" s="84" t="s">
        <v>123</v>
      </c>
      <c r="AZ4" s="84"/>
      <c r="BA4" s="96" t="s">
        <v>124</v>
      </c>
      <c r="BB4" s="130" t="s">
        <v>125</v>
      </c>
      <c r="BC4" s="130" t="s">
        <v>126</v>
      </c>
      <c r="BD4" s="130" t="s">
        <v>127</v>
      </c>
      <c r="BE4" s="130" t="s">
        <v>128</v>
      </c>
      <c r="BF4" s="130" t="s">
        <v>129</v>
      </c>
      <c r="BG4" s="131" t="s">
        <v>130</v>
      </c>
      <c r="BH4" s="84"/>
      <c r="BI4" s="132"/>
      <c r="BJ4" s="84"/>
      <c r="BK4" s="94" t="s">
        <v>100</v>
      </c>
      <c r="BL4" s="94"/>
    </row>
    <row r="5" s="97" customFormat="1" ht="16.5" spans="1:64">
      <c r="A5" s="97" t="s">
        <v>131</v>
      </c>
      <c r="B5" s="133" t="s">
        <v>132</v>
      </c>
      <c r="C5" s="133" t="s">
        <v>133</v>
      </c>
      <c r="D5" s="97" t="s">
        <v>134</v>
      </c>
      <c r="E5" s="133" t="s">
        <v>135</v>
      </c>
      <c r="F5" s="97" t="s">
        <v>134</v>
      </c>
      <c r="G5" s="133" t="s">
        <v>135</v>
      </c>
      <c r="H5" s="133">
        <v>1000</v>
      </c>
      <c r="I5" s="133">
        <v>53</v>
      </c>
      <c r="J5" s="133">
        <v>78</v>
      </c>
      <c r="K5" s="133">
        <v>15</v>
      </c>
      <c r="L5" s="133">
        <v>26</v>
      </c>
      <c r="M5" s="133">
        <v>2</v>
      </c>
      <c r="N5" s="133">
        <v>4</v>
      </c>
      <c r="O5" s="133">
        <v>500</v>
      </c>
      <c r="P5" s="133">
        <v>480</v>
      </c>
      <c r="Q5" s="133">
        <v>120</v>
      </c>
      <c r="R5" s="133">
        <v>110</v>
      </c>
      <c r="S5" s="133">
        <v>89</v>
      </c>
      <c r="T5" s="133">
        <v>60</v>
      </c>
      <c r="U5" s="133">
        <v>2</v>
      </c>
      <c r="V5" s="133">
        <v>0</v>
      </c>
      <c r="W5" s="133">
        <v>2</v>
      </c>
      <c r="X5" s="133">
        <v>0</v>
      </c>
      <c r="Y5" s="133">
        <v>1</v>
      </c>
      <c r="Z5" s="133">
        <v>16</v>
      </c>
      <c r="AA5" s="133">
        <v>0</v>
      </c>
      <c r="AB5" s="133">
        <v>3</v>
      </c>
      <c r="AC5" s="133">
        <v>3</v>
      </c>
      <c r="AD5" s="133">
        <v>4</v>
      </c>
      <c r="AE5" s="133">
        <v>6</v>
      </c>
      <c r="AF5" s="133">
        <v>8</v>
      </c>
      <c r="AG5" s="133">
        <v>0</v>
      </c>
      <c r="AH5" s="133">
        <v>2</v>
      </c>
      <c r="AI5" s="133">
        <v>6</v>
      </c>
      <c r="AJ5" s="133">
        <v>1920</v>
      </c>
      <c r="AK5" s="133">
        <v>1020</v>
      </c>
      <c r="AL5" s="133">
        <v>236</v>
      </c>
      <c r="AM5" s="133">
        <v>136</v>
      </c>
      <c r="AN5" s="133">
        <v>100</v>
      </c>
      <c r="AO5" s="133">
        <v>26</v>
      </c>
      <c r="AP5" s="133">
        <v>6</v>
      </c>
      <c r="AQ5" s="133">
        <v>188</v>
      </c>
      <c r="AR5" s="133">
        <v>20</v>
      </c>
      <c r="AS5" s="133">
        <v>5</v>
      </c>
      <c r="AT5" s="133">
        <v>16</v>
      </c>
      <c r="AU5" s="133">
        <v>200</v>
      </c>
      <c r="AV5" s="133">
        <v>80</v>
      </c>
      <c r="AW5" s="133">
        <v>30</v>
      </c>
      <c r="AX5" s="133">
        <v>30</v>
      </c>
      <c r="AY5" s="133">
        <v>0</v>
      </c>
      <c r="AZ5" s="97">
        <f>BA5+BH5</f>
        <v>80</v>
      </c>
      <c r="BA5" s="97">
        <f>SUM(BB5:BG5)</f>
        <v>50</v>
      </c>
      <c r="BB5" s="97">
        <v>18</v>
      </c>
      <c r="BC5" s="97">
        <v>20</v>
      </c>
      <c r="BD5" s="97">
        <v>12</v>
      </c>
      <c r="BE5" s="97">
        <v>0</v>
      </c>
      <c r="BF5" s="97">
        <v>0</v>
      </c>
      <c r="BG5" s="97"/>
      <c r="BH5" s="97">
        <v>30</v>
      </c>
      <c r="BI5" s="133">
        <v>5</v>
      </c>
      <c r="BJ5" s="133">
        <v>30</v>
      </c>
      <c r="BK5" s="97" t="s">
        <v>135</v>
      </c>
      <c r="BL5" s="97" t="s">
        <v>135</v>
      </c>
    </row>
    <row r="7" s="53" customFormat="1" ht="12" spans="1:64">
      <c r="A7" s="53" t="s">
        <v>136</v>
      </c>
      <c r="B7" s="53" t="s">
        <v>137</v>
      </c>
      <c r="C7" s="53" t="s">
        <v>137</v>
      </c>
      <c r="D7" s="53" t="s">
        <v>138</v>
      </c>
      <c r="E7" s="53" t="s">
        <v>139</v>
      </c>
      <c r="F7" s="53" t="s">
        <v>138</v>
      </c>
      <c r="G7" s="53" t="s">
        <v>139</v>
      </c>
      <c r="H7" s="53" t="s">
        <v>139</v>
      </c>
      <c r="I7" s="53" t="s">
        <v>139</v>
      </c>
      <c r="J7" s="53" t="s">
        <v>139</v>
      </c>
      <c r="K7" s="53" t="s">
        <v>139</v>
      </c>
      <c r="L7" s="53" t="s">
        <v>139</v>
      </c>
      <c r="M7" s="53" t="s">
        <v>139</v>
      </c>
      <c r="N7" s="53" t="s">
        <v>139</v>
      </c>
      <c r="O7" s="53" t="s">
        <v>139</v>
      </c>
      <c r="P7" s="53" t="s">
        <v>139</v>
      </c>
      <c r="Q7" s="53" t="s">
        <v>139</v>
      </c>
      <c r="R7" s="53" t="s">
        <v>139</v>
      </c>
      <c r="S7" s="53" t="s">
        <v>139</v>
      </c>
      <c r="T7" s="53" t="s">
        <v>139</v>
      </c>
      <c r="U7" s="53" t="s">
        <v>139</v>
      </c>
      <c r="V7" s="53" t="s">
        <v>139</v>
      </c>
      <c r="W7" s="53" t="s">
        <v>139</v>
      </c>
      <c r="X7" s="53" t="s">
        <v>139</v>
      </c>
      <c r="Y7" s="53" t="s">
        <v>139</v>
      </c>
      <c r="Z7" s="53" t="s">
        <v>139</v>
      </c>
      <c r="AA7" s="53" t="s">
        <v>139</v>
      </c>
      <c r="AB7" s="53" t="s">
        <v>139</v>
      </c>
      <c r="AC7" s="53" t="s">
        <v>139</v>
      </c>
      <c r="AD7" s="53" t="s">
        <v>139</v>
      </c>
      <c r="AE7" s="53" t="s">
        <v>139</v>
      </c>
      <c r="AF7" s="53" t="s">
        <v>139</v>
      </c>
      <c r="AG7" s="53" t="s">
        <v>139</v>
      </c>
      <c r="AH7" s="53" t="s">
        <v>139</v>
      </c>
      <c r="AI7" s="53" t="s">
        <v>139</v>
      </c>
      <c r="AJ7" s="53" t="s">
        <v>139</v>
      </c>
      <c r="AK7" s="53" t="s">
        <v>139</v>
      </c>
      <c r="AL7" s="53" t="s">
        <v>139</v>
      </c>
      <c r="AM7" s="53" t="s">
        <v>139</v>
      </c>
      <c r="AN7" s="53" t="s">
        <v>139</v>
      </c>
      <c r="AO7" s="53" t="s">
        <v>139</v>
      </c>
      <c r="AP7" s="53" t="s">
        <v>139</v>
      </c>
      <c r="AQ7" s="53" t="s">
        <v>139</v>
      </c>
      <c r="AR7" s="53" t="s">
        <v>139</v>
      </c>
      <c r="AS7" s="53" t="s">
        <v>139</v>
      </c>
      <c r="AT7" s="53" t="s">
        <v>139</v>
      </c>
      <c r="AU7" s="53" t="s">
        <v>139</v>
      </c>
      <c r="AV7" s="53" t="s">
        <v>139</v>
      </c>
      <c r="AW7" s="53" t="s">
        <v>139</v>
      </c>
      <c r="AX7" s="53" t="s">
        <v>139</v>
      </c>
      <c r="AY7" s="53" t="s">
        <v>139</v>
      </c>
      <c r="AZ7" s="53" t="s">
        <v>139</v>
      </c>
      <c r="BA7" s="53" t="s">
        <v>139</v>
      </c>
      <c r="BB7" s="53" t="s">
        <v>139</v>
      </c>
      <c r="BC7" s="53" t="s">
        <v>139</v>
      </c>
      <c r="BD7" s="53" t="s">
        <v>139</v>
      </c>
      <c r="BE7" s="53" t="s">
        <v>139</v>
      </c>
      <c r="BF7" s="53" t="s">
        <v>139</v>
      </c>
      <c r="BG7" s="53" t="s">
        <v>139</v>
      </c>
      <c r="BH7" s="53" t="s">
        <v>139</v>
      </c>
      <c r="BI7" s="53" t="s">
        <v>139</v>
      </c>
      <c r="BJ7" s="53" t="s">
        <v>139</v>
      </c>
      <c r="BK7" s="53" t="s">
        <v>136</v>
      </c>
      <c r="BL7" s="53" t="s">
        <v>136</v>
      </c>
    </row>
    <row r="8" s="54" customFormat="1" ht="12" spans="1:64">
      <c r="B8" s="53" t="s">
        <v>140</v>
      </c>
      <c r="C8" s="53" t="s">
        <v>140</v>
      </c>
      <c r="D8" s="54"/>
      <c r="E8" s="54" t="s">
        <v>141</v>
      </c>
      <c r="G8" s="54" t="s">
        <v>141</v>
      </c>
      <c r="H8" s="54" t="s">
        <v>142</v>
      </c>
      <c r="I8" s="54" t="s">
        <v>143</v>
      </c>
      <c r="J8" s="54" t="s">
        <v>143</v>
      </c>
      <c r="K8" s="54" t="s">
        <v>143</v>
      </c>
      <c r="L8" s="54" t="s">
        <v>143</v>
      </c>
      <c r="M8" s="54" t="s">
        <v>143</v>
      </c>
      <c r="N8" s="54" t="s">
        <v>143</v>
      </c>
      <c r="O8" s="54" t="s">
        <v>144</v>
      </c>
      <c r="P8" s="54" t="s">
        <v>144</v>
      </c>
      <c r="Q8" s="54" t="s">
        <v>144</v>
      </c>
      <c r="R8" s="54" t="s">
        <v>144</v>
      </c>
      <c r="S8" s="54" t="s">
        <v>144</v>
      </c>
      <c r="T8" s="54" t="s">
        <v>144</v>
      </c>
      <c r="U8" s="54" t="s">
        <v>144</v>
      </c>
      <c r="V8" s="54" t="s">
        <v>144</v>
      </c>
      <c r="W8" s="54" t="s">
        <v>144</v>
      </c>
      <c r="X8" s="54" t="s">
        <v>144</v>
      </c>
      <c r="Y8" s="54" t="s">
        <v>144</v>
      </c>
      <c r="Z8" s="54" t="s">
        <v>143</v>
      </c>
      <c r="AA8" s="54" t="s">
        <v>143</v>
      </c>
      <c r="AB8" s="54" t="s">
        <v>143</v>
      </c>
      <c r="AC8" s="54" t="s">
        <v>143</v>
      </c>
      <c r="AD8" s="54" t="s">
        <v>143</v>
      </c>
      <c r="AE8" s="54" t="s">
        <v>143</v>
      </c>
      <c r="AF8" s="54" t="s">
        <v>143</v>
      </c>
      <c r="AG8" s="54" t="s">
        <v>143</v>
      </c>
      <c r="AH8" s="54" t="s">
        <v>143</v>
      </c>
      <c r="AI8" s="54" t="s">
        <v>143</v>
      </c>
      <c r="AJ8" s="54" t="s">
        <v>145</v>
      </c>
      <c r="AK8" s="54" t="s">
        <v>145</v>
      </c>
      <c r="AL8" s="54" t="s">
        <v>145</v>
      </c>
      <c r="AM8" s="54" t="s">
        <v>145</v>
      </c>
      <c r="AN8" s="54" t="s">
        <v>145</v>
      </c>
      <c r="AO8" s="54" t="s">
        <v>145</v>
      </c>
      <c r="AP8" s="54" t="s">
        <v>145</v>
      </c>
      <c r="AQ8" s="54" t="s">
        <v>145</v>
      </c>
      <c r="AR8" s="54" t="s">
        <v>145</v>
      </c>
      <c r="AS8" s="54" t="s">
        <v>145</v>
      </c>
      <c r="AT8" s="54" t="s">
        <v>145</v>
      </c>
      <c r="AU8" s="54" t="s">
        <v>145</v>
      </c>
      <c r="AV8" s="54" t="s">
        <v>145</v>
      </c>
      <c r="AW8" s="54" t="s">
        <v>145</v>
      </c>
      <c r="AX8" s="54" t="s">
        <v>145</v>
      </c>
      <c r="AY8" s="54" t="s">
        <v>145</v>
      </c>
      <c r="AZ8" s="54" t="s">
        <v>145</v>
      </c>
      <c r="BA8" s="54" t="s">
        <v>145</v>
      </c>
      <c r="BB8" s="54" t="s">
        <v>145</v>
      </c>
      <c r="BC8" s="54" t="s">
        <v>145</v>
      </c>
      <c r="BD8" s="54" t="s">
        <v>145</v>
      </c>
      <c r="BE8" s="54" t="s">
        <v>145</v>
      </c>
      <c r="BF8" s="54" t="s">
        <v>145</v>
      </c>
      <c r="BG8" s="54" t="s">
        <v>145</v>
      </c>
      <c r="BH8" s="54" t="s">
        <v>145</v>
      </c>
      <c r="BI8" s="54" t="s">
        <v>145</v>
      </c>
      <c r="BJ8" s="54" t="s">
        <v>145</v>
      </c>
    </row>
    <row r="9" spans="1:64">
      <c r="B9" s="53" t="s">
        <v>132</v>
      </c>
      <c r="C9" s="53" t="s">
        <v>133</v>
      </c>
    </row>
    <row r="10" spans="1:64">
      <c r="B10" s="53" t="s">
        <v>146</v>
      </c>
      <c r="C10" s="53" t="s">
        <v>147</v>
      </c>
    </row>
    <row r="11" spans="1:64">
      <c r="B11" s="53" t="s">
        <v>148</v>
      </c>
      <c r="C11" s="53" t="s">
        <v>149</v>
      </c>
    </row>
    <row r="12" spans="1:64">
      <c r="B12" s="53" t="s">
        <v>150</v>
      </c>
    </row>
    <row r="13" spans="1:64">
      <c r="B13" s="53" t="s">
        <v>151</v>
      </c>
    </row>
  </sheetData>
  <mergeCells count="43">
    <mergeCell ref="A1:BJ1"/>
    <mergeCell ref="M3:N3"/>
    <mergeCell ref="Q3:T3"/>
    <mergeCell ref="AB3:AC3"/>
    <mergeCell ref="AH3:AI3"/>
    <mergeCell ref="AM3:AN3"/>
    <mergeCell ref="AX3:AY3"/>
    <mergeCell ref="BA3:BG3"/>
    <mergeCell ref="A3:A4"/>
    <mergeCell ref="B3:B4"/>
    <mergeCell ref="C3:C4"/>
    <mergeCell ref="D3:D4"/>
    <mergeCell ref="E3:E4"/>
    <mergeCell ref="F3:F4"/>
    <mergeCell ref="G3:G4"/>
    <mergeCell ref="H3:H4"/>
    <mergeCell ref="I3:I4"/>
    <mergeCell ref="J3:J4"/>
    <mergeCell ref="K3:K4"/>
    <mergeCell ref="L3:L4"/>
    <mergeCell ref="O3:O4"/>
    <mergeCell ref="P3:P4"/>
    <mergeCell ref="U3:U4"/>
    <mergeCell ref="Z3:Z4"/>
    <mergeCell ref="AF3:AF4"/>
    <mergeCell ref="AJ3:AJ4"/>
    <mergeCell ref="AK3:AK4"/>
    <mergeCell ref="AL3:AL4"/>
    <mergeCell ref="AO3:AO4"/>
    <mergeCell ref="AP3:AP4"/>
    <mergeCell ref="AQ3:AQ4"/>
    <mergeCell ref="AR3:AR4"/>
    <mergeCell ref="AS3:AS4"/>
    <mergeCell ref="AT3:AT4"/>
    <mergeCell ref="AU3:AU4"/>
    <mergeCell ref="AV3:AV4"/>
    <mergeCell ref="AW3:AW4"/>
    <mergeCell ref="AZ3:AZ4"/>
    <mergeCell ref="BH3:BH4"/>
    <mergeCell ref="BI3:BI4"/>
    <mergeCell ref="BJ3:BJ4"/>
    <mergeCell ref="BK3:BK4"/>
    <mergeCell ref="BL3:BL4"/>
  </mergeCells>
  <dataValidations count="3">
    <dataValidation allowBlank="1" showInputMessage="1" showErrorMessage="1" sqref="E3:I3 E4:J4 E5 G5:J5"/>
    <dataValidation type="list" allowBlank="1" showInputMessage="1" showErrorMessage="1" sqref="B3:B5">
      <formula1>"三级甲等,三级乙等,二级甲等,二级乙等"</formula1>
    </dataValidation>
    <dataValidation type="list" allowBlank="1" showInputMessage="1" showErrorMessage="1" sqref="C3:C5">
      <formula1>"直属附属医院,非直属附属医院,教学医院,实习医院"</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XDI13"/>
  <sheetViews>
    <sheetView topLeftCell="AS1" workbookViewId="0">
      <selection activeCell="AU4" sqref="AU4"/>
    </sheetView>
  </sheetViews>
  <sheetFormatPr defaultColWidth="9" defaultRowHeight="13.5"/>
  <cols>
    <col min="1" max="1" width="15.25" style="80" customWidth="1"/>
    <col min="2" max="2" width="13.75" style="80" customWidth="1"/>
    <col min="3" max="3" width="7.25" style="80" customWidth="1"/>
    <col min="4" max="4" width="7.5" style="80" customWidth="1"/>
    <col min="5" max="5" width="8.375" style="80" customWidth="1"/>
    <col min="6" max="7" width="10.75" style="80" customWidth="1"/>
    <col min="8" max="8" width="11.5" style="80" customWidth="1"/>
    <col min="9" max="9" width="11.75" style="80" customWidth="1"/>
    <col min="10" max="10" width="10.75" style="80" customWidth="1"/>
    <col min="11" max="11" width="10.875" style="80" customWidth="1"/>
    <col min="12" max="12" width="10.75" style="80" customWidth="1"/>
    <col min="13" max="13" width="11.25" style="80" customWidth="1"/>
    <col min="14" max="14" width="10.375" style="80" customWidth="1"/>
    <col min="15" max="15" width="10.25" style="80" customWidth="1"/>
    <col min="16" max="16" width="11.75" style="80" customWidth="1"/>
    <col min="17" max="18" width="11.125" style="80" customWidth="1"/>
    <col min="19" max="19" width="12.875" style="80" customWidth="1"/>
    <col min="20" max="24" width="11.375" style="80" customWidth="1"/>
    <col min="25" max="25" width="12.9833333333333" style="80" customWidth="1"/>
    <col min="26" max="26" width="11.5416666666667" style="80" customWidth="1"/>
    <col min="27" max="28" width="12.9833333333333" style="80" customWidth="1"/>
    <col min="29" max="29" width="12.1833333333333" style="80" customWidth="1"/>
    <col min="30" max="32" width="13.625" style="80" customWidth="1"/>
    <col min="33" max="33" width="10.9" style="80" customWidth="1"/>
    <col min="34" max="34" width="16.8166666666667" style="80" customWidth="1"/>
    <col min="35" max="35" width="13.1416666666667" style="80" customWidth="1"/>
    <col min="36" max="39" width="13.6166666666667" style="80" customWidth="1"/>
    <col min="40" max="41" width="12.0083333333333" style="80" customWidth="1"/>
    <col min="42" max="42" width="11.5416666666667" style="80" customWidth="1"/>
    <col min="43" max="48" width="13.9416666666667" style="80" customWidth="1"/>
    <col min="49" max="59" width="11.375" style="80" customWidth="1"/>
    <col min="60" max="16336" width="9" style="80"/>
    <col min="16338" max="16384" width="9" style="80"/>
  </cols>
  <sheetData>
    <row r="2" s="100" customFormat="1" ht="20" customHeight="1" spans="1:104 16337:16337">
      <c r="A2" s="82" t="s">
        <v>1</v>
      </c>
      <c r="B2" s="82" t="s">
        <v>2</v>
      </c>
      <c r="C2" s="82" t="s">
        <v>3</v>
      </c>
      <c r="D2" s="82" t="s">
        <v>4</v>
      </c>
      <c r="E2" s="82" t="s">
        <v>5</v>
      </c>
      <c r="F2" s="82" t="s">
        <v>6</v>
      </c>
      <c r="G2" s="82" t="s">
        <v>7</v>
      </c>
      <c r="H2" s="82" t="s">
        <v>8</v>
      </c>
      <c r="I2" s="82" t="s">
        <v>9</v>
      </c>
      <c r="J2" s="82" t="s">
        <v>10</v>
      </c>
      <c r="K2" s="82" t="s">
        <v>11</v>
      </c>
      <c r="L2" s="82" t="s">
        <v>12</v>
      </c>
      <c r="M2" s="82" t="s">
        <v>13</v>
      </c>
      <c r="N2" s="82" t="s">
        <v>14</v>
      </c>
      <c r="O2" s="82" t="s">
        <v>15</v>
      </c>
      <c r="P2" s="82" t="s">
        <v>16</v>
      </c>
      <c r="Q2" s="82" t="s">
        <v>17</v>
      </c>
      <c r="R2" s="82" t="s">
        <v>18</v>
      </c>
      <c r="S2" s="82" t="s">
        <v>19</v>
      </c>
      <c r="T2" s="82" t="s">
        <v>20</v>
      </c>
      <c r="U2" s="82" t="s">
        <v>21</v>
      </c>
      <c r="V2" s="82" t="s">
        <v>22</v>
      </c>
      <c r="W2" s="82" t="s">
        <v>23</v>
      </c>
      <c r="X2" s="82" t="s">
        <v>24</v>
      </c>
      <c r="Y2" s="82" t="s">
        <v>25</v>
      </c>
      <c r="Z2" s="82" t="s">
        <v>26</v>
      </c>
      <c r="AA2" s="82" t="s">
        <v>27</v>
      </c>
      <c r="AB2" s="82" t="s">
        <v>28</v>
      </c>
      <c r="AC2" s="82" t="s">
        <v>29</v>
      </c>
      <c r="AD2" s="82" t="s">
        <v>30</v>
      </c>
      <c r="AE2" s="82" t="s">
        <v>31</v>
      </c>
      <c r="AF2" s="82" t="s">
        <v>32</v>
      </c>
      <c r="AG2" s="82" t="s">
        <v>33</v>
      </c>
      <c r="AH2" s="82" t="s">
        <v>34</v>
      </c>
      <c r="AI2" s="82" t="s">
        <v>35</v>
      </c>
      <c r="AJ2" s="82" t="s">
        <v>36</v>
      </c>
      <c r="AK2" s="82" t="s">
        <v>37</v>
      </c>
      <c r="AL2" s="82" t="s">
        <v>38</v>
      </c>
      <c r="AM2" s="82" t="s">
        <v>39</v>
      </c>
      <c r="AN2" s="82" t="s">
        <v>40</v>
      </c>
      <c r="AO2" s="82" t="s">
        <v>41</v>
      </c>
      <c r="AP2" s="82" t="s">
        <v>42</v>
      </c>
      <c r="AQ2" s="82" t="s">
        <v>43</v>
      </c>
      <c r="AR2" s="82" t="s">
        <v>44</v>
      </c>
      <c r="AS2" s="82" t="s">
        <v>45</v>
      </c>
      <c r="AT2" s="82" t="s">
        <v>46</v>
      </c>
      <c r="AU2" s="82" t="s">
        <v>47</v>
      </c>
      <c r="AV2" s="82" t="s">
        <v>48</v>
      </c>
      <c r="AW2" s="82" t="s">
        <v>49</v>
      </c>
      <c r="AX2" s="82" t="s">
        <v>50</v>
      </c>
      <c r="AY2" s="82" t="s">
        <v>51</v>
      </c>
      <c r="AZ2" s="82" t="s">
        <v>52</v>
      </c>
      <c r="BA2" s="82" t="s">
        <v>53</v>
      </c>
      <c r="BB2" s="82" t="s">
        <v>54</v>
      </c>
      <c r="BC2" s="82" t="s">
        <v>55</v>
      </c>
      <c r="BD2" s="82" t="s">
        <v>56</v>
      </c>
      <c r="BE2" s="82" t="s">
        <v>57</v>
      </c>
      <c r="BF2" s="82" t="s">
        <v>58</v>
      </c>
      <c r="BG2" s="82" t="s">
        <v>59</v>
      </c>
      <c r="BH2" s="82" t="s">
        <v>60</v>
      </c>
      <c r="BI2" s="82" t="s">
        <v>61</v>
      </c>
      <c r="BJ2" s="82" t="s">
        <v>62</v>
      </c>
      <c r="BK2" s="82" t="s">
        <v>63</v>
      </c>
      <c r="BL2" s="82" t="s">
        <v>64</v>
      </c>
      <c r="BM2" s="82" t="s">
        <v>152</v>
      </c>
      <c r="BN2" s="82" t="s">
        <v>153</v>
      </c>
      <c r="BO2" s="82" t="s">
        <v>154</v>
      </c>
      <c r="BP2" s="82" t="s">
        <v>155</v>
      </c>
      <c r="BQ2" s="82" t="s">
        <v>156</v>
      </c>
      <c r="BR2" s="82" t="s">
        <v>157</v>
      </c>
      <c r="BS2" s="82" t="s">
        <v>158</v>
      </c>
      <c r="BT2" s="82" t="s">
        <v>159</v>
      </c>
      <c r="BU2" s="82" t="s">
        <v>160</v>
      </c>
      <c r="BV2" s="82" t="s">
        <v>161</v>
      </c>
      <c r="BW2" s="82" t="s">
        <v>162</v>
      </c>
      <c r="BX2" s="82" t="s">
        <v>163</v>
      </c>
      <c r="BY2" s="82" t="s">
        <v>164</v>
      </c>
      <c r="BZ2" s="82" t="s">
        <v>165</v>
      </c>
      <c r="CA2" s="82" t="s">
        <v>166</v>
      </c>
      <c r="CB2" s="82" t="s">
        <v>167</v>
      </c>
      <c r="CC2" s="82" t="s">
        <v>168</v>
      </c>
      <c r="CD2" s="82" t="s">
        <v>169</v>
      </c>
      <c r="CE2" s="82" t="s">
        <v>170</v>
      </c>
      <c r="CF2" s="82" t="s">
        <v>171</v>
      </c>
      <c r="CG2" s="82" t="s">
        <v>172</v>
      </c>
      <c r="CH2" s="82" t="s">
        <v>173</v>
      </c>
      <c r="CI2" s="82" t="s">
        <v>174</v>
      </c>
      <c r="CJ2" s="82" t="s">
        <v>175</v>
      </c>
      <c r="CK2" s="82" t="s">
        <v>176</v>
      </c>
      <c r="CL2" s="82" t="s">
        <v>177</v>
      </c>
      <c r="CM2" s="82" t="s">
        <v>178</v>
      </c>
      <c r="CN2" s="82" t="s">
        <v>179</v>
      </c>
      <c r="CO2" s="82" t="s">
        <v>180</v>
      </c>
      <c r="CP2" s="82" t="s">
        <v>181</v>
      </c>
      <c r="CQ2" s="82" t="s">
        <v>182</v>
      </c>
      <c r="CR2" s="82" t="s">
        <v>183</v>
      </c>
      <c r="CS2" s="82" t="s">
        <v>184</v>
      </c>
      <c r="CT2" s="82" t="s">
        <v>185</v>
      </c>
      <c r="CU2" s="82" t="s">
        <v>186</v>
      </c>
      <c r="CV2" s="82" t="s">
        <v>187</v>
      </c>
      <c r="CW2" s="82" t="s">
        <v>188</v>
      </c>
      <c r="CX2" s="82" t="s">
        <v>189</v>
      </c>
      <c r="CY2" s="82" t="s">
        <v>190</v>
      </c>
      <c r="CZ2" s="82" t="s">
        <v>191</v>
      </c>
    </row>
    <row r="3" s="80" customFormat="1" ht="18" customHeight="1" spans="1:104 16337:16337">
      <c r="A3" s="83" t="s">
        <v>65</v>
      </c>
      <c r="B3" s="31" t="s">
        <v>192</v>
      </c>
      <c r="C3" s="32"/>
      <c r="D3" s="32"/>
      <c r="E3" s="31" t="s">
        <v>193</v>
      </c>
      <c r="F3" s="32"/>
      <c r="G3" s="32"/>
      <c r="H3" s="32"/>
      <c r="I3" s="32"/>
      <c r="J3" s="32"/>
      <c r="K3" s="31" t="s">
        <v>194</v>
      </c>
      <c r="L3" s="32"/>
      <c r="M3" s="32"/>
      <c r="N3" s="32"/>
      <c r="O3" s="32"/>
      <c r="P3" s="30" t="s">
        <v>195</v>
      </c>
      <c r="Q3" s="31" t="s">
        <v>196</v>
      </c>
      <c r="R3" s="32"/>
      <c r="S3" s="32"/>
      <c r="T3" s="32"/>
      <c r="U3" s="31" t="s">
        <v>197</v>
      </c>
      <c r="V3" s="32"/>
      <c r="W3" s="32"/>
      <c r="X3" s="32"/>
      <c r="Y3" s="31" t="s">
        <v>198</v>
      </c>
      <c r="Z3" s="32"/>
      <c r="AA3" s="32"/>
      <c r="AB3" s="32"/>
      <c r="AC3" s="32"/>
      <c r="AD3" s="32"/>
      <c r="AE3" s="32"/>
      <c r="AF3" s="32"/>
      <c r="AG3" s="31" t="s">
        <v>199</v>
      </c>
      <c r="AH3" s="32"/>
      <c r="AI3" s="32"/>
      <c r="AJ3" s="32"/>
      <c r="AK3" s="31" t="s">
        <v>200</v>
      </c>
      <c r="AL3" s="32"/>
      <c r="AM3" s="32"/>
      <c r="AN3" s="31" t="s">
        <v>201</v>
      </c>
      <c r="AO3" s="32"/>
      <c r="AP3" s="32"/>
      <c r="AQ3" s="32"/>
      <c r="AR3" s="31" t="s">
        <v>202</v>
      </c>
      <c r="AS3" s="32"/>
      <c r="AT3" s="32"/>
      <c r="AU3" s="32"/>
      <c r="AV3" s="32"/>
      <c r="AW3" s="31" t="s">
        <v>203</v>
      </c>
      <c r="AX3" s="32"/>
      <c r="AY3" s="32"/>
      <c r="AZ3" s="32"/>
      <c r="BA3" s="32"/>
      <c r="BB3" s="32"/>
      <c r="BC3" s="32"/>
      <c r="BD3" s="32"/>
      <c r="BE3" s="32"/>
      <c r="BF3" s="31" t="s">
        <v>204</v>
      </c>
      <c r="BG3" s="32"/>
      <c r="BH3" s="31" t="s">
        <v>205</v>
      </c>
      <c r="BJ3" s="32"/>
      <c r="BK3" s="32"/>
      <c r="BL3" s="31" t="s">
        <v>206</v>
      </c>
      <c r="BN3" s="32"/>
      <c r="BO3" s="32"/>
      <c r="BP3" s="101" t="s">
        <v>207</v>
      </c>
      <c r="BQ3" s="102"/>
      <c r="BR3" s="102"/>
      <c r="BS3" s="102"/>
      <c r="BT3" s="102"/>
      <c r="BU3" s="102"/>
      <c r="BV3" s="102"/>
      <c r="BW3" s="102"/>
      <c r="BX3" s="31" t="s">
        <v>208</v>
      </c>
      <c r="BY3" s="32"/>
      <c r="BZ3" s="32"/>
      <c r="CA3" s="32"/>
      <c r="CB3" s="38" t="s">
        <v>209</v>
      </c>
      <c r="CC3" s="31" t="s">
        <v>210</v>
      </c>
      <c r="CD3" s="32"/>
      <c r="CE3" s="32"/>
      <c r="CF3" s="38" t="s">
        <v>211</v>
      </c>
      <c r="CG3" s="62" t="s">
        <v>212</v>
      </c>
      <c r="CH3" s="62"/>
      <c r="CI3" s="62"/>
      <c r="CJ3" s="62"/>
      <c r="CK3" s="62"/>
      <c r="CL3" s="62"/>
      <c r="CM3" s="62"/>
      <c r="CN3" s="62"/>
      <c r="CO3" s="31" t="s">
        <v>213</v>
      </c>
      <c r="CP3" s="32"/>
      <c r="CQ3" s="32"/>
      <c r="CR3" s="32"/>
      <c r="CS3" s="31" t="s">
        <v>214</v>
      </c>
      <c r="CT3" s="32"/>
      <c r="CU3" s="32"/>
      <c r="CV3" s="32"/>
      <c r="CW3" s="84" t="s">
        <v>215</v>
      </c>
      <c r="CX3" s="84" t="s">
        <v>216</v>
      </c>
      <c r="CY3" s="84" t="s">
        <v>217</v>
      </c>
      <c r="CZ3" s="84" t="s">
        <v>218</v>
      </c>
    </row>
    <row r="4" s="80" customFormat="1" ht="81" spans="1:104 16337:16337">
      <c r="A4" s="90"/>
      <c r="B4" s="38" t="s">
        <v>219</v>
      </c>
      <c r="C4" s="38" t="s">
        <v>220</v>
      </c>
      <c r="D4" s="38" t="s">
        <v>221</v>
      </c>
      <c r="E4" s="38" t="s">
        <v>222</v>
      </c>
      <c r="F4" s="38" t="s">
        <v>223</v>
      </c>
      <c r="G4" s="103" t="s">
        <v>224</v>
      </c>
      <c r="H4" s="103" t="s">
        <v>225</v>
      </c>
      <c r="I4" s="103" t="s">
        <v>226</v>
      </c>
      <c r="J4" s="103" t="s">
        <v>227</v>
      </c>
      <c r="K4" s="38" t="s">
        <v>223</v>
      </c>
      <c r="L4" s="103" t="s">
        <v>224</v>
      </c>
      <c r="M4" s="103" t="s">
        <v>225</v>
      </c>
      <c r="N4" s="103" t="s">
        <v>226</v>
      </c>
      <c r="O4" s="103" t="s">
        <v>227</v>
      </c>
      <c r="P4" s="38"/>
      <c r="Q4" s="38" t="s">
        <v>223</v>
      </c>
      <c r="R4" s="103" t="s">
        <v>224</v>
      </c>
      <c r="S4" s="103" t="s">
        <v>225</v>
      </c>
      <c r="T4" s="103" t="s">
        <v>226</v>
      </c>
      <c r="U4" s="38" t="s">
        <v>223</v>
      </c>
      <c r="V4" s="103" t="s">
        <v>224</v>
      </c>
      <c r="W4" s="103" t="s">
        <v>225</v>
      </c>
      <c r="X4" s="103" t="s">
        <v>226</v>
      </c>
      <c r="Y4" s="47" t="s">
        <v>228</v>
      </c>
      <c r="Z4" s="47" t="s">
        <v>229</v>
      </c>
      <c r="AA4" s="47" t="s">
        <v>230</v>
      </c>
      <c r="AB4" s="47" t="s">
        <v>229</v>
      </c>
      <c r="AC4" s="47" t="s">
        <v>231</v>
      </c>
      <c r="AD4" s="47" t="s">
        <v>229</v>
      </c>
      <c r="AE4" s="47" t="s">
        <v>232</v>
      </c>
      <c r="AF4" s="47" t="s">
        <v>233</v>
      </c>
      <c r="AG4" s="47" t="s">
        <v>234</v>
      </c>
      <c r="AH4" s="47" t="s">
        <v>235</v>
      </c>
      <c r="AI4" s="47" t="s">
        <v>85</v>
      </c>
      <c r="AJ4" s="47" t="s">
        <v>236</v>
      </c>
      <c r="AK4" s="69" t="s">
        <v>223</v>
      </c>
      <c r="AL4" s="103" t="s">
        <v>224</v>
      </c>
      <c r="AM4" s="103" t="s">
        <v>225</v>
      </c>
      <c r="AN4" s="47" t="s">
        <v>234</v>
      </c>
      <c r="AO4" s="47" t="s">
        <v>235</v>
      </c>
      <c r="AP4" s="47" t="s">
        <v>85</v>
      </c>
      <c r="AQ4" s="47" t="s">
        <v>236</v>
      </c>
      <c r="AR4" s="69" t="s">
        <v>223</v>
      </c>
      <c r="AS4" s="103" t="s">
        <v>224</v>
      </c>
      <c r="AT4" s="103" t="s">
        <v>225</v>
      </c>
      <c r="AU4" s="104" t="s">
        <v>237</v>
      </c>
      <c r="AV4" s="104" t="s">
        <v>238</v>
      </c>
      <c r="AW4" s="49" t="s">
        <v>239</v>
      </c>
      <c r="AX4" s="49" t="s">
        <v>240</v>
      </c>
      <c r="AY4" s="49" t="s">
        <v>241</v>
      </c>
      <c r="AZ4" s="49" t="s">
        <v>242</v>
      </c>
      <c r="BA4" s="49" t="s">
        <v>243</v>
      </c>
      <c r="BB4" s="49" t="s">
        <v>244</v>
      </c>
      <c r="BC4" s="44" t="s">
        <v>245</v>
      </c>
      <c r="BD4" s="44" t="s">
        <v>246</v>
      </c>
      <c r="BE4" s="44" t="s">
        <v>247</v>
      </c>
      <c r="BF4" s="38" t="s">
        <v>234</v>
      </c>
      <c r="BG4" s="38" t="s">
        <v>248</v>
      </c>
      <c r="BH4" s="38" t="s">
        <v>249</v>
      </c>
      <c r="BI4" s="38" t="s">
        <v>250</v>
      </c>
      <c r="BJ4" s="47" t="s">
        <v>251</v>
      </c>
      <c r="BK4" s="47" t="s">
        <v>252</v>
      </c>
      <c r="BL4" s="47" t="s">
        <v>253</v>
      </c>
      <c r="BM4" s="47" t="s">
        <v>254</v>
      </c>
      <c r="BN4" s="44" t="s">
        <v>255</v>
      </c>
      <c r="BO4" s="44" t="s">
        <v>256</v>
      </c>
      <c r="BP4" s="47" t="s">
        <v>257</v>
      </c>
      <c r="BQ4" s="47" t="s">
        <v>258</v>
      </c>
      <c r="BR4" s="47" t="s">
        <v>259</v>
      </c>
      <c r="BS4" s="47" t="s">
        <v>260</v>
      </c>
      <c r="BT4" s="47" t="s">
        <v>261</v>
      </c>
      <c r="BU4" s="47" t="s">
        <v>262</v>
      </c>
      <c r="BV4" s="47" t="s">
        <v>263</v>
      </c>
      <c r="BW4" s="47" t="s">
        <v>264</v>
      </c>
      <c r="BX4" s="47" t="s">
        <v>265</v>
      </c>
      <c r="BY4" s="47" t="s">
        <v>266</v>
      </c>
      <c r="BZ4" s="47" t="s">
        <v>267</v>
      </c>
      <c r="CA4" s="47" t="s">
        <v>268</v>
      </c>
      <c r="CB4" s="38"/>
      <c r="CC4" s="47" t="s">
        <v>269</v>
      </c>
      <c r="CD4" s="47" t="s">
        <v>270</v>
      </c>
      <c r="CE4" s="48" t="s">
        <v>271</v>
      </c>
      <c r="CF4" s="47"/>
      <c r="CG4" s="105" t="s">
        <v>272</v>
      </c>
      <c r="CH4" s="105" t="s">
        <v>273</v>
      </c>
      <c r="CI4" s="105" t="s">
        <v>274</v>
      </c>
      <c r="CJ4" s="106" t="s">
        <v>275</v>
      </c>
      <c r="CK4" s="106" t="s">
        <v>276</v>
      </c>
      <c r="CL4" s="106" t="s">
        <v>277</v>
      </c>
      <c r="CM4" s="106" t="s">
        <v>278</v>
      </c>
      <c r="CN4" s="106" t="s">
        <v>279</v>
      </c>
      <c r="CO4" s="47" t="s">
        <v>280</v>
      </c>
      <c r="CP4" s="47" t="s">
        <v>281</v>
      </c>
      <c r="CQ4" s="47" t="s">
        <v>282</v>
      </c>
      <c r="CR4" s="47" t="s">
        <v>283</v>
      </c>
      <c r="CS4" s="47" t="s">
        <v>284</v>
      </c>
      <c r="CT4" s="47" t="s">
        <v>285</v>
      </c>
      <c r="CU4" s="47" t="s">
        <v>286</v>
      </c>
      <c r="CV4" s="48" t="s">
        <v>287</v>
      </c>
      <c r="CW4" s="84"/>
      <c r="CX4" s="84" t="s">
        <v>216</v>
      </c>
      <c r="CY4" s="84"/>
      <c r="CZ4" s="84"/>
    </row>
    <row r="5" s="97" customFormat="1" ht="16.5" spans="1:104 16337:16337">
      <c r="A5" s="97" t="s">
        <v>131</v>
      </c>
      <c r="B5" s="97" t="s">
        <v>288</v>
      </c>
      <c r="C5" s="97" t="s">
        <v>288</v>
      </c>
      <c r="D5" s="97" t="s">
        <v>288</v>
      </c>
      <c r="E5" s="3" t="s">
        <v>289</v>
      </c>
      <c r="F5" s="3">
        <v>3</v>
      </c>
      <c r="G5" s="5">
        <v>45664</v>
      </c>
      <c r="H5" s="5">
        <v>45696</v>
      </c>
      <c r="I5" s="5">
        <v>45725</v>
      </c>
      <c r="J5" s="5" t="s">
        <v>290</v>
      </c>
      <c r="K5" s="3">
        <v>1</v>
      </c>
      <c r="L5" s="5">
        <v>45725</v>
      </c>
      <c r="M5" s="5" t="s">
        <v>290</v>
      </c>
      <c r="N5" s="5" t="s">
        <v>290</v>
      </c>
      <c r="O5" s="5" t="s">
        <v>290</v>
      </c>
      <c r="P5" s="3" t="s">
        <v>291</v>
      </c>
      <c r="Q5" s="3">
        <v>2</v>
      </c>
      <c r="R5" s="5">
        <v>45669</v>
      </c>
      <c r="S5" s="5">
        <v>45714</v>
      </c>
      <c r="T5" s="5" t="s">
        <v>290</v>
      </c>
      <c r="U5" s="3">
        <v>2</v>
      </c>
      <c r="V5" s="5">
        <v>45669</v>
      </c>
      <c r="W5" s="5">
        <v>45714</v>
      </c>
      <c r="X5" s="5" t="s">
        <v>290</v>
      </c>
      <c r="Y5" s="3" t="s">
        <v>288</v>
      </c>
      <c r="Z5" s="3">
        <v>5</v>
      </c>
      <c r="AA5" s="3" t="s">
        <v>288</v>
      </c>
      <c r="AB5" s="3">
        <v>4</v>
      </c>
      <c r="AC5" s="3" t="s">
        <v>288</v>
      </c>
      <c r="AD5" s="3">
        <v>2</v>
      </c>
      <c r="AE5" s="3">
        <v>3</v>
      </c>
      <c r="AF5" s="107" t="s">
        <v>292</v>
      </c>
      <c r="AG5" s="3" t="s">
        <v>288</v>
      </c>
      <c r="AH5" s="3">
        <v>3</v>
      </c>
      <c r="AI5" s="108">
        <v>1</v>
      </c>
      <c r="AJ5" s="108">
        <v>1</v>
      </c>
      <c r="AK5" s="3">
        <v>2</v>
      </c>
      <c r="AL5" s="109">
        <v>45353</v>
      </c>
      <c r="AM5" s="109">
        <v>45576</v>
      </c>
      <c r="AN5" s="3" t="s">
        <v>288</v>
      </c>
      <c r="AO5" s="3">
        <v>5</v>
      </c>
      <c r="AP5" s="3">
        <v>2</v>
      </c>
      <c r="AQ5" s="3">
        <v>1</v>
      </c>
      <c r="AR5" s="3">
        <v>1</v>
      </c>
      <c r="AS5" s="23">
        <v>45311</v>
      </c>
      <c r="AT5" s="3" t="s">
        <v>290</v>
      </c>
      <c r="AU5" s="3" t="s">
        <v>290</v>
      </c>
      <c r="AV5" s="3">
        <v>20</v>
      </c>
      <c r="AW5" s="108" t="s">
        <v>288</v>
      </c>
      <c r="AX5" s="108" t="s">
        <v>288</v>
      </c>
      <c r="AY5" s="108" t="s">
        <v>293</v>
      </c>
      <c r="AZ5" s="108" t="s">
        <v>288</v>
      </c>
      <c r="BA5" s="108" t="s">
        <v>288</v>
      </c>
      <c r="BB5" s="108" t="s">
        <v>288</v>
      </c>
      <c r="BC5" s="108" t="s">
        <v>294</v>
      </c>
      <c r="BD5" s="108"/>
      <c r="BE5" s="108"/>
      <c r="BF5" s="3" t="s">
        <v>288</v>
      </c>
      <c r="BG5" s="3">
        <v>12</v>
      </c>
      <c r="BH5" s="97" t="s">
        <v>288</v>
      </c>
      <c r="BI5" s="97" t="s">
        <v>288</v>
      </c>
      <c r="BJ5" s="97" t="s">
        <v>288</v>
      </c>
      <c r="BK5" s="97" t="s">
        <v>288</v>
      </c>
      <c r="BL5" s="97" t="s">
        <v>288</v>
      </c>
      <c r="BM5" s="97" t="s">
        <v>288</v>
      </c>
      <c r="BN5" s="97" t="s">
        <v>288</v>
      </c>
      <c r="BO5" s="97" t="s">
        <v>288</v>
      </c>
      <c r="BP5" s="97" t="s">
        <v>288</v>
      </c>
      <c r="BQ5" s="97" t="s">
        <v>288</v>
      </c>
      <c r="BR5" s="97" t="s">
        <v>288</v>
      </c>
      <c r="BS5" s="97" t="s">
        <v>288</v>
      </c>
      <c r="BT5" s="97" t="s">
        <v>288</v>
      </c>
      <c r="BU5" s="97" t="s">
        <v>288</v>
      </c>
      <c r="BV5" s="97" t="s">
        <v>288</v>
      </c>
      <c r="BW5" s="97" t="s">
        <v>288</v>
      </c>
      <c r="BX5" s="97" t="s">
        <v>288</v>
      </c>
      <c r="BY5" s="97" t="s">
        <v>288</v>
      </c>
      <c r="BZ5" s="97" t="s">
        <v>288</v>
      </c>
      <c r="CA5" s="97" t="s">
        <v>288</v>
      </c>
      <c r="CB5" s="97" t="s">
        <v>288</v>
      </c>
      <c r="CC5" s="97" t="s">
        <v>288</v>
      </c>
      <c r="CD5" s="97" t="s">
        <v>288</v>
      </c>
      <c r="CE5" s="97" t="s">
        <v>288</v>
      </c>
      <c r="CF5" s="97" t="s">
        <v>288</v>
      </c>
      <c r="CH5" s="97" t="s">
        <v>288</v>
      </c>
      <c r="CJ5" s="97" t="s">
        <v>288</v>
      </c>
      <c r="CK5" s="97" t="s">
        <v>288</v>
      </c>
      <c r="CL5" s="97" t="s">
        <v>288</v>
      </c>
      <c r="CM5" s="97" t="s">
        <v>288</v>
      </c>
      <c r="CN5" s="97" t="s">
        <v>288</v>
      </c>
      <c r="CO5" s="97" t="s">
        <v>288</v>
      </c>
      <c r="CP5" s="97" t="s">
        <v>288</v>
      </c>
      <c r="CQ5" s="97" t="s">
        <v>288</v>
      </c>
      <c r="CR5" s="97" t="s">
        <v>288</v>
      </c>
      <c r="CS5" s="97" t="s">
        <v>288</v>
      </c>
      <c r="CT5" s="97" t="s">
        <v>288</v>
      </c>
      <c r="CU5" s="97" t="s">
        <v>288</v>
      </c>
      <c r="CV5" s="97" t="s">
        <v>293</v>
      </c>
      <c r="CW5" s="97" t="s">
        <v>293</v>
      </c>
      <c r="CX5" s="97" t="s">
        <v>289</v>
      </c>
      <c r="CY5" s="97">
        <v>8</v>
      </c>
      <c r="CZ5" s="97">
        <v>8</v>
      </c>
    </row>
    <row r="6" s="80" customFormat="1" spans="1:104 16337:16337">
      <c r="XDI6"/>
    </row>
    <row r="7" s="53" customFormat="1" ht="12" spans="1:104 16337:16337">
      <c r="A7" s="53" t="s">
        <v>136</v>
      </c>
      <c r="B7" s="53" t="s">
        <v>137</v>
      </c>
      <c r="C7" s="53" t="s">
        <v>137</v>
      </c>
      <c r="D7" s="53" t="s">
        <v>137</v>
      </c>
      <c r="E7" s="53" t="s">
        <v>137</v>
      </c>
      <c r="F7" s="53" t="s">
        <v>139</v>
      </c>
      <c r="G7" s="53" t="s">
        <v>138</v>
      </c>
      <c r="H7" s="53" t="s">
        <v>138</v>
      </c>
      <c r="I7" s="53" t="s">
        <v>138</v>
      </c>
      <c r="J7" s="53" t="s">
        <v>138</v>
      </c>
      <c r="K7" s="53" t="s">
        <v>139</v>
      </c>
      <c r="L7" s="53" t="s">
        <v>138</v>
      </c>
      <c r="M7" s="53" t="s">
        <v>138</v>
      </c>
      <c r="N7" s="53" t="s">
        <v>138</v>
      </c>
      <c r="O7" s="53" t="s">
        <v>138</v>
      </c>
      <c r="P7" s="53" t="s">
        <v>136</v>
      </c>
      <c r="Q7" s="53" t="s">
        <v>139</v>
      </c>
      <c r="R7" s="53" t="s">
        <v>138</v>
      </c>
      <c r="S7" s="53" t="s">
        <v>138</v>
      </c>
      <c r="T7" s="53" t="s">
        <v>138</v>
      </c>
      <c r="U7" s="53" t="s">
        <v>139</v>
      </c>
      <c r="V7" s="53" t="s">
        <v>138</v>
      </c>
      <c r="W7" s="53" t="s">
        <v>138</v>
      </c>
      <c r="X7" s="53" t="s">
        <v>138</v>
      </c>
      <c r="Y7" s="53" t="s">
        <v>137</v>
      </c>
      <c r="Z7" s="53" t="s">
        <v>139</v>
      </c>
      <c r="AA7" s="53" t="s">
        <v>137</v>
      </c>
      <c r="AB7" s="53" t="s">
        <v>139</v>
      </c>
      <c r="AC7" s="53" t="s">
        <v>137</v>
      </c>
      <c r="AD7" s="53" t="s">
        <v>139</v>
      </c>
      <c r="AE7" s="53" t="s">
        <v>139</v>
      </c>
      <c r="AF7" s="110" t="s">
        <v>295</v>
      </c>
      <c r="AG7" s="53" t="s">
        <v>137</v>
      </c>
      <c r="AH7" s="53" t="s">
        <v>139</v>
      </c>
      <c r="AI7" s="53" t="s">
        <v>139</v>
      </c>
      <c r="AJ7" s="53" t="s">
        <v>139</v>
      </c>
      <c r="AK7" s="53" t="s">
        <v>139</v>
      </c>
      <c r="AL7" s="53" t="s">
        <v>138</v>
      </c>
      <c r="AM7" s="53" t="s">
        <v>138</v>
      </c>
      <c r="AN7" s="53" t="s">
        <v>137</v>
      </c>
      <c r="AO7" s="53" t="s">
        <v>139</v>
      </c>
      <c r="AP7" s="53" t="s">
        <v>139</v>
      </c>
      <c r="AQ7" s="53" t="s">
        <v>139</v>
      </c>
      <c r="AR7" s="53" t="s">
        <v>139</v>
      </c>
      <c r="AS7" s="53" t="s">
        <v>138</v>
      </c>
      <c r="AT7" s="53" t="s">
        <v>138</v>
      </c>
      <c r="AU7" s="53" t="s">
        <v>139</v>
      </c>
      <c r="AV7" s="53" t="s">
        <v>139</v>
      </c>
      <c r="AW7" s="53" t="s">
        <v>137</v>
      </c>
      <c r="AX7" s="53" t="s">
        <v>137</v>
      </c>
      <c r="AY7" s="53" t="s">
        <v>137</v>
      </c>
      <c r="AZ7" s="53" t="s">
        <v>137</v>
      </c>
      <c r="BA7" s="53" t="s">
        <v>137</v>
      </c>
      <c r="BB7" s="53" t="s">
        <v>137</v>
      </c>
      <c r="BC7" s="53" t="s">
        <v>136</v>
      </c>
      <c r="BD7" s="53" t="s">
        <v>136</v>
      </c>
      <c r="BE7" s="53" t="s">
        <v>136</v>
      </c>
      <c r="BF7" s="53" t="s">
        <v>137</v>
      </c>
      <c r="BG7" s="53" t="s">
        <v>139</v>
      </c>
      <c r="BH7" s="53" t="s">
        <v>137</v>
      </c>
      <c r="BI7" s="53" t="s">
        <v>137</v>
      </c>
      <c r="BJ7" s="53" t="s">
        <v>137</v>
      </c>
      <c r="BK7" s="53" t="s">
        <v>137</v>
      </c>
      <c r="BL7" s="53" t="s">
        <v>137</v>
      </c>
      <c r="BM7" s="53" t="s">
        <v>137</v>
      </c>
      <c r="BN7" s="53" t="s">
        <v>137</v>
      </c>
      <c r="BO7" s="53" t="s">
        <v>137</v>
      </c>
      <c r="BP7" s="53" t="s">
        <v>137</v>
      </c>
      <c r="BQ7" s="53" t="s">
        <v>137</v>
      </c>
      <c r="BR7" s="53" t="s">
        <v>137</v>
      </c>
      <c r="BS7" s="53" t="s">
        <v>137</v>
      </c>
      <c r="BT7" s="53" t="s">
        <v>137</v>
      </c>
      <c r="BU7" s="53" t="s">
        <v>137</v>
      </c>
      <c r="BV7" s="53" t="s">
        <v>137</v>
      </c>
      <c r="BW7" s="53" t="s">
        <v>137</v>
      </c>
      <c r="BX7" s="53" t="s">
        <v>137</v>
      </c>
      <c r="BY7" s="53" t="s">
        <v>137</v>
      </c>
      <c r="BZ7" s="53" t="s">
        <v>137</v>
      </c>
      <c r="CA7" s="53" t="s">
        <v>137</v>
      </c>
      <c r="CB7" s="53" t="s">
        <v>137</v>
      </c>
      <c r="CC7" s="53" t="s">
        <v>137</v>
      </c>
      <c r="CD7" s="53" t="s">
        <v>137</v>
      </c>
      <c r="CE7" s="53" t="s">
        <v>137</v>
      </c>
      <c r="CF7" s="53" t="s">
        <v>137</v>
      </c>
      <c r="CG7" s="53" t="s">
        <v>137</v>
      </c>
      <c r="CH7" s="53" t="s">
        <v>137</v>
      </c>
      <c r="CI7" s="53" t="s">
        <v>137</v>
      </c>
      <c r="CJ7" s="53" t="s">
        <v>137</v>
      </c>
      <c r="CK7" s="53" t="s">
        <v>137</v>
      </c>
      <c r="CL7" s="53" t="s">
        <v>137</v>
      </c>
      <c r="CM7" s="53" t="s">
        <v>137</v>
      </c>
      <c r="CN7" s="53" t="s">
        <v>137</v>
      </c>
      <c r="CO7" s="53" t="s">
        <v>137</v>
      </c>
      <c r="CP7" s="53" t="s">
        <v>137</v>
      </c>
      <c r="CQ7" s="53" t="s">
        <v>137</v>
      </c>
      <c r="CR7" s="53" t="s">
        <v>137</v>
      </c>
      <c r="CS7" s="53" t="s">
        <v>137</v>
      </c>
      <c r="CT7" s="53" t="s">
        <v>137</v>
      </c>
      <c r="CU7" s="53" t="s">
        <v>137</v>
      </c>
      <c r="CV7" s="53" t="s">
        <v>137</v>
      </c>
      <c r="CW7" s="53" t="s">
        <v>137</v>
      </c>
      <c r="CX7" s="53" t="s">
        <v>137</v>
      </c>
      <c r="CY7" s="53" t="s">
        <v>139</v>
      </c>
      <c r="CZ7" s="53" t="s">
        <v>139</v>
      </c>
    </row>
    <row r="8" s="54" customFormat="1" ht="12" spans="1:104 16337:16337">
      <c r="B8" s="53" t="s">
        <v>140</v>
      </c>
      <c r="C8" s="53" t="s">
        <v>140</v>
      </c>
      <c r="D8" s="53" t="s">
        <v>140</v>
      </c>
      <c r="E8" s="53" t="s">
        <v>140</v>
      </c>
      <c r="F8" s="54" t="s">
        <v>296</v>
      </c>
      <c r="K8" s="54" t="s">
        <v>296</v>
      </c>
      <c r="Q8" s="54" t="s">
        <v>296</v>
      </c>
      <c r="U8" s="54" t="s">
        <v>296</v>
      </c>
      <c r="Y8" s="53" t="s">
        <v>140</v>
      </c>
      <c r="Z8" s="54" t="s">
        <v>145</v>
      </c>
      <c r="AA8" s="53" t="s">
        <v>140</v>
      </c>
      <c r="AB8" s="54" t="s">
        <v>145</v>
      </c>
      <c r="AC8" s="53" t="s">
        <v>140</v>
      </c>
      <c r="AD8" s="54" t="s">
        <v>145</v>
      </c>
      <c r="AE8" s="54" t="s">
        <v>145</v>
      </c>
      <c r="AF8" s="134" t="s">
        <v>297</v>
      </c>
      <c r="AG8" s="53" t="s">
        <v>140</v>
      </c>
      <c r="AH8" s="54" t="s">
        <v>145</v>
      </c>
      <c r="AI8" s="54" t="s">
        <v>145</v>
      </c>
      <c r="AJ8" s="54" t="s">
        <v>145</v>
      </c>
      <c r="AK8" s="54" t="s">
        <v>296</v>
      </c>
      <c r="AN8" s="53" t="s">
        <v>140</v>
      </c>
      <c r="AO8" s="54" t="s">
        <v>145</v>
      </c>
      <c r="AP8" s="54" t="s">
        <v>145</v>
      </c>
      <c r="AQ8" s="54" t="s">
        <v>145</v>
      </c>
      <c r="AR8" s="54" t="s">
        <v>296</v>
      </c>
      <c r="AU8" s="54" t="s">
        <v>296</v>
      </c>
      <c r="AV8" s="54" t="s">
        <v>143</v>
      </c>
      <c r="AW8" s="53" t="s">
        <v>140</v>
      </c>
      <c r="AX8" s="53" t="s">
        <v>140</v>
      </c>
      <c r="AY8" s="53" t="s">
        <v>140</v>
      </c>
      <c r="AZ8" s="53" t="s">
        <v>140</v>
      </c>
      <c r="BA8" s="53" t="s">
        <v>140</v>
      </c>
      <c r="BB8" s="53" t="s">
        <v>140</v>
      </c>
      <c r="BF8" s="53" t="s">
        <v>140</v>
      </c>
      <c r="BG8" s="54" t="s">
        <v>145</v>
      </c>
      <c r="BH8" s="53" t="s">
        <v>140</v>
      </c>
      <c r="BI8" s="53" t="s">
        <v>140</v>
      </c>
      <c r="BJ8" s="53" t="s">
        <v>140</v>
      </c>
      <c r="BK8" s="53" t="s">
        <v>140</v>
      </c>
      <c r="BL8" s="53" t="s">
        <v>140</v>
      </c>
      <c r="BM8" s="53" t="s">
        <v>140</v>
      </c>
      <c r="BN8" s="53" t="s">
        <v>140</v>
      </c>
      <c r="BO8" s="53" t="s">
        <v>140</v>
      </c>
      <c r="BP8" s="53" t="s">
        <v>140</v>
      </c>
      <c r="BQ8" s="53" t="s">
        <v>140</v>
      </c>
      <c r="BR8" s="53" t="s">
        <v>140</v>
      </c>
      <c r="BS8" s="53" t="s">
        <v>140</v>
      </c>
      <c r="BT8" s="53" t="s">
        <v>140</v>
      </c>
      <c r="BU8" s="53" t="s">
        <v>140</v>
      </c>
      <c r="BV8" s="53" t="s">
        <v>140</v>
      </c>
      <c r="BW8" s="53" t="s">
        <v>140</v>
      </c>
      <c r="BX8" s="53" t="s">
        <v>140</v>
      </c>
      <c r="BY8" s="53" t="s">
        <v>140</v>
      </c>
      <c r="BZ8" s="53" t="s">
        <v>140</v>
      </c>
      <c r="CA8" s="53" t="s">
        <v>140</v>
      </c>
      <c r="CB8" s="53" t="s">
        <v>140</v>
      </c>
      <c r="CC8" s="53" t="s">
        <v>140</v>
      </c>
      <c r="CD8" s="53" t="s">
        <v>140</v>
      </c>
      <c r="CE8" s="53" t="s">
        <v>140</v>
      </c>
      <c r="CF8" s="53" t="s">
        <v>140</v>
      </c>
      <c r="CG8" s="53" t="s">
        <v>140</v>
      </c>
      <c r="CH8" s="53" t="s">
        <v>140</v>
      </c>
      <c r="CI8" s="53" t="s">
        <v>140</v>
      </c>
      <c r="CJ8" s="53" t="s">
        <v>140</v>
      </c>
      <c r="CK8" s="53" t="s">
        <v>140</v>
      </c>
      <c r="CL8" s="53" t="s">
        <v>140</v>
      </c>
      <c r="CM8" s="53" t="s">
        <v>140</v>
      </c>
      <c r="CN8" s="53" t="s">
        <v>140</v>
      </c>
      <c r="CO8" s="53" t="s">
        <v>140</v>
      </c>
      <c r="CP8" s="53" t="s">
        <v>140</v>
      </c>
      <c r="CQ8" s="53" t="s">
        <v>140</v>
      </c>
      <c r="CR8" s="53" t="s">
        <v>140</v>
      </c>
      <c r="CS8" s="53" t="s">
        <v>140</v>
      </c>
      <c r="CT8" s="53" t="s">
        <v>140</v>
      </c>
      <c r="CU8" s="53" t="s">
        <v>140</v>
      </c>
      <c r="CV8" s="53" t="s">
        <v>140</v>
      </c>
      <c r="CW8" s="53" t="s">
        <v>140</v>
      </c>
      <c r="CX8" s="53" t="s">
        <v>140</v>
      </c>
      <c r="CY8" s="54" t="s">
        <v>298</v>
      </c>
      <c r="CZ8" s="54" t="s">
        <v>298</v>
      </c>
    </row>
    <row r="9" s="80" customFormat="1" spans="1:104 16337:16337">
      <c r="B9" s="53" t="s">
        <v>288</v>
      </c>
      <c r="C9" s="53" t="s">
        <v>288</v>
      </c>
      <c r="D9" s="53" t="s">
        <v>288</v>
      </c>
      <c r="E9" s="53" t="s">
        <v>289</v>
      </c>
      <c r="Y9" s="53" t="s">
        <v>288</v>
      </c>
      <c r="AA9" s="53" t="s">
        <v>288</v>
      </c>
      <c r="AC9" s="53" t="s">
        <v>288</v>
      </c>
      <c r="AF9" s="111"/>
      <c r="AG9" s="53" t="s">
        <v>288</v>
      </c>
      <c r="AN9" s="53" t="s">
        <v>288</v>
      </c>
      <c r="AW9" s="53" t="s">
        <v>288</v>
      </c>
      <c r="AX9" s="53" t="s">
        <v>288</v>
      </c>
      <c r="AY9" s="53" t="s">
        <v>288</v>
      </c>
      <c r="AZ9" s="53" t="s">
        <v>288</v>
      </c>
      <c r="BA9" s="53" t="s">
        <v>288</v>
      </c>
      <c r="BB9" s="53" t="s">
        <v>288</v>
      </c>
      <c r="BF9" s="53" t="s">
        <v>288</v>
      </c>
      <c r="BH9" s="53" t="s">
        <v>288</v>
      </c>
      <c r="BI9" s="53" t="s">
        <v>288</v>
      </c>
      <c r="BJ9" s="53" t="s">
        <v>288</v>
      </c>
      <c r="BK9" s="53" t="s">
        <v>288</v>
      </c>
      <c r="BL9" s="53" t="s">
        <v>288</v>
      </c>
      <c r="BM9" s="53" t="s">
        <v>288</v>
      </c>
      <c r="BN9" s="53" t="s">
        <v>288</v>
      </c>
      <c r="BO9" s="53" t="s">
        <v>288</v>
      </c>
      <c r="BP9" s="53" t="s">
        <v>288</v>
      </c>
      <c r="BQ9" s="53" t="s">
        <v>288</v>
      </c>
      <c r="BR9" s="53" t="s">
        <v>288</v>
      </c>
      <c r="BS9" s="53" t="s">
        <v>288</v>
      </c>
      <c r="BT9" s="53" t="s">
        <v>288</v>
      </c>
      <c r="BU9" s="53" t="s">
        <v>288</v>
      </c>
      <c r="BV9" s="53" t="s">
        <v>288</v>
      </c>
      <c r="BW9" s="53" t="s">
        <v>288</v>
      </c>
      <c r="BX9" s="53" t="s">
        <v>288</v>
      </c>
      <c r="BY9" s="53" t="s">
        <v>288</v>
      </c>
      <c r="BZ9" s="53" t="s">
        <v>288</v>
      </c>
      <c r="CA9" s="53" t="s">
        <v>288</v>
      </c>
      <c r="CB9" s="53" t="s">
        <v>288</v>
      </c>
      <c r="CC9" s="53" t="s">
        <v>288</v>
      </c>
      <c r="CD9" s="53" t="s">
        <v>288</v>
      </c>
      <c r="CE9" s="53" t="s">
        <v>288</v>
      </c>
      <c r="CF9" s="53" t="s">
        <v>288</v>
      </c>
      <c r="CG9" s="53" t="s">
        <v>288</v>
      </c>
      <c r="CH9" s="53" t="s">
        <v>288</v>
      </c>
      <c r="CI9" s="53" t="s">
        <v>288</v>
      </c>
      <c r="CJ9" s="53" t="s">
        <v>288</v>
      </c>
      <c r="CK9" s="53" t="s">
        <v>288</v>
      </c>
      <c r="CL9" s="53" t="s">
        <v>288</v>
      </c>
      <c r="CM9" s="53" t="s">
        <v>288</v>
      </c>
      <c r="CN9" s="53" t="s">
        <v>288</v>
      </c>
      <c r="CO9" s="53" t="s">
        <v>288</v>
      </c>
      <c r="CP9" s="53" t="s">
        <v>288</v>
      </c>
      <c r="CQ9" s="53" t="s">
        <v>288</v>
      </c>
      <c r="CR9" s="53" t="s">
        <v>288</v>
      </c>
      <c r="CS9" s="53" t="s">
        <v>288</v>
      </c>
      <c r="CT9" s="53" t="s">
        <v>288</v>
      </c>
      <c r="CU9" s="53" t="s">
        <v>288</v>
      </c>
      <c r="CV9" s="53" t="s">
        <v>288</v>
      </c>
      <c r="CW9" s="53" t="s">
        <v>288</v>
      </c>
      <c r="CX9" s="53" t="s">
        <v>289</v>
      </c>
      <c r="XDI9"/>
    </row>
    <row r="10" s="80" customFormat="1" spans="1:104 16337:16337">
      <c r="B10" s="53" t="s">
        <v>293</v>
      </c>
      <c r="C10" s="53" t="s">
        <v>293</v>
      </c>
      <c r="D10" s="53" t="s">
        <v>293</v>
      </c>
      <c r="E10" s="53" t="s">
        <v>299</v>
      </c>
      <c r="Y10" s="53" t="s">
        <v>293</v>
      </c>
      <c r="AA10" s="53" t="s">
        <v>293</v>
      </c>
      <c r="AC10" s="53" t="s">
        <v>293</v>
      </c>
      <c r="AF10" s="111"/>
      <c r="AG10" s="53" t="s">
        <v>293</v>
      </c>
      <c r="AN10" s="53" t="s">
        <v>293</v>
      </c>
      <c r="AW10" s="53" t="s">
        <v>293</v>
      </c>
      <c r="AX10" s="53" t="s">
        <v>293</v>
      </c>
      <c r="AY10" s="53" t="s">
        <v>293</v>
      </c>
      <c r="AZ10" s="53" t="s">
        <v>293</v>
      </c>
      <c r="BA10" s="53" t="s">
        <v>293</v>
      </c>
      <c r="BB10" s="53" t="s">
        <v>293</v>
      </c>
      <c r="BF10" s="53" t="s">
        <v>293</v>
      </c>
      <c r="BH10" s="53" t="s">
        <v>293</v>
      </c>
      <c r="BI10" s="53" t="s">
        <v>293</v>
      </c>
      <c r="BJ10" s="53" t="s">
        <v>293</v>
      </c>
      <c r="BK10" s="53" t="s">
        <v>293</v>
      </c>
      <c r="BL10" s="53" t="s">
        <v>293</v>
      </c>
      <c r="BM10" s="53" t="s">
        <v>293</v>
      </c>
      <c r="BN10" s="53" t="s">
        <v>293</v>
      </c>
      <c r="BO10" s="53" t="s">
        <v>293</v>
      </c>
      <c r="BP10" s="53" t="s">
        <v>293</v>
      </c>
      <c r="BQ10" s="53" t="s">
        <v>293</v>
      </c>
      <c r="BR10" s="53" t="s">
        <v>293</v>
      </c>
      <c r="BS10" s="53" t="s">
        <v>293</v>
      </c>
      <c r="BT10" s="53" t="s">
        <v>293</v>
      </c>
      <c r="BU10" s="53" t="s">
        <v>293</v>
      </c>
      <c r="BV10" s="53" t="s">
        <v>293</v>
      </c>
      <c r="BW10" s="53" t="s">
        <v>293</v>
      </c>
      <c r="BX10" s="53" t="s">
        <v>293</v>
      </c>
      <c r="BY10" s="53" t="s">
        <v>293</v>
      </c>
      <c r="BZ10" s="53" t="s">
        <v>293</v>
      </c>
      <c r="CA10" s="53" t="s">
        <v>293</v>
      </c>
      <c r="CB10" s="53" t="s">
        <v>293</v>
      </c>
      <c r="CC10" s="53" t="s">
        <v>293</v>
      </c>
      <c r="CD10" s="53" t="s">
        <v>293</v>
      </c>
      <c r="CE10" s="53" t="s">
        <v>293</v>
      </c>
      <c r="CF10" s="53" t="s">
        <v>293</v>
      </c>
      <c r="CG10" s="53" t="s">
        <v>293</v>
      </c>
      <c r="CH10" s="53" t="s">
        <v>293</v>
      </c>
      <c r="CI10" s="53" t="s">
        <v>293</v>
      </c>
      <c r="CJ10" s="53" t="s">
        <v>293</v>
      </c>
      <c r="CK10" s="53" t="s">
        <v>293</v>
      </c>
      <c r="CL10" s="53" t="s">
        <v>293</v>
      </c>
      <c r="CM10" s="53" t="s">
        <v>293</v>
      </c>
      <c r="CN10" s="53" t="s">
        <v>293</v>
      </c>
      <c r="CO10" s="53" t="s">
        <v>293</v>
      </c>
      <c r="CP10" s="53" t="s">
        <v>293</v>
      </c>
      <c r="CQ10" s="53" t="s">
        <v>293</v>
      </c>
      <c r="CR10" s="53" t="s">
        <v>293</v>
      </c>
      <c r="CS10" s="53" t="s">
        <v>293</v>
      </c>
      <c r="CT10" s="53" t="s">
        <v>293</v>
      </c>
      <c r="CU10" s="53" t="s">
        <v>293</v>
      </c>
      <c r="CV10" s="53" t="s">
        <v>293</v>
      </c>
      <c r="CW10" s="53" t="s">
        <v>293</v>
      </c>
      <c r="CX10" s="53" t="s">
        <v>299</v>
      </c>
      <c r="XDI10"/>
    </row>
    <row r="11" s="80" customFormat="1" spans="1:104 16337:16337">
      <c r="XDI11"/>
    </row>
    <row r="12" s="80" customFormat="1" spans="1:104 16337:16337">
      <c r="CK12" s="112"/>
      <c r="XDI12"/>
    </row>
    <row r="13" s="80" customFormat="1" spans="1:104 16337:16337">
      <c r="XDI13"/>
    </row>
  </sheetData>
  <mergeCells count="29">
    <mergeCell ref="B3:D3"/>
    <mergeCell ref="E3:J3"/>
    <mergeCell ref="K3:O3"/>
    <mergeCell ref="Q3:T3"/>
    <mergeCell ref="U3:X3"/>
    <mergeCell ref="Y3:AD3"/>
    <mergeCell ref="AG3:AJ3"/>
    <mergeCell ref="AK3:AM3"/>
    <mergeCell ref="AN3:AQ3"/>
    <mergeCell ref="AR3:AT3"/>
    <mergeCell ref="AW3:BE3"/>
    <mergeCell ref="BF3:BG3"/>
    <mergeCell ref="BH3:BK3"/>
    <mergeCell ref="BL3:BO3"/>
    <mergeCell ref="BP3:BW3"/>
    <mergeCell ref="BX3:CA3"/>
    <mergeCell ref="CC3:CE3"/>
    <mergeCell ref="CG3:CN3"/>
    <mergeCell ref="CO3:CR3"/>
    <mergeCell ref="CS3:CV3"/>
    <mergeCell ref="A3:A4"/>
    <mergeCell ref="P3:P4"/>
    <mergeCell ref="AF8:AF10"/>
    <mergeCell ref="CB3:CB4"/>
    <mergeCell ref="CF3:CF4"/>
    <mergeCell ref="CW3:CW4"/>
    <mergeCell ref="CX3:CX4"/>
    <mergeCell ref="CY3:CY4"/>
    <mergeCell ref="CZ3:CZ4"/>
  </mergeCells>
  <dataValidations count="4">
    <dataValidation type="list" allowBlank="1" showInputMessage="1" showErrorMessage="1" sqref="Y3:AF3" errorStyle="information">
      <formula1>"有,无,教学管理机构设置,教学管理机构"</formula1>
    </dataValidation>
    <dataValidation type="list" allowBlank="1" showInputMessage="1" showErrorMessage="1" sqref="BO3:BV3 CG3 BN4:BV4 BH5:CF5 CJ5:CW5 BH6 Y4:Y5 AA4:AA5 AC4:AC5 AG3:AG5 AN3:AN5 BF3:BF5 BH3:BH4 BH11:BH1048576 CH4:CH5 AW3:BB5 BJ3:BL4 BX3:CE4 CJ3:CL4 CN3:CV4">
      <formula1>"有,无"</formula1>
    </dataValidation>
    <dataValidation type="list" allowBlank="1" showInputMessage="1" showErrorMessage="1" sqref="CX5">
      <formula1>"是,否"</formula1>
    </dataValidation>
    <dataValidation allowBlank="1" showInputMessage="1" showErrorMessage="1" sqref="CM2:CM4 CM6:CM1048576"/>
  </dataValidation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H11"/>
  <sheetViews>
    <sheetView topLeftCell="AL1" workbookViewId="0">
      <selection activeCell="AP4" sqref="AP4"/>
    </sheetView>
  </sheetViews>
  <sheetFormatPr defaultColWidth="9" defaultRowHeight="13.5"/>
  <cols>
    <col min="1" max="1" width="15.75" customWidth="1"/>
    <col min="2" max="2" width="12" style="80" customWidth="1"/>
    <col min="3" max="4" width="13.25" style="80" customWidth="1"/>
    <col min="5" max="5" width="10.875" style="80" customWidth="1"/>
    <col min="6" max="6" width="9" style="80"/>
    <col min="7" max="7" width="11.25" style="80" customWidth="1"/>
    <col min="8" max="8" width="11.375" style="80" customWidth="1"/>
    <col min="9" max="14" width="9.5" style="80" customWidth="1"/>
    <col min="15" max="15" width="8.975" style="80" customWidth="1"/>
    <col min="16" max="17" width="9.5" style="80" customWidth="1"/>
    <col min="18" max="18" width="12.975" style="80" customWidth="1"/>
    <col min="19" max="19" width="14.2583333333333" style="80" customWidth="1"/>
    <col min="20" max="20" width="10.4166666666667" style="80" customWidth="1"/>
    <col min="21" max="22" width="9" style="80"/>
    <col min="23" max="23" width="11.8583333333333" style="80" customWidth="1"/>
    <col min="24" max="24" width="11.05" style="80" customWidth="1"/>
    <col min="25" max="25" width="12.0083333333333" style="80" customWidth="1"/>
    <col min="26" max="28" width="12.4916666666667" style="80" customWidth="1"/>
    <col min="29" max="29" width="12.1833333333333" style="80" customWidth="1"/>
    <col min="30" max="30" width="12.875" style="80" customWidth="1"/>
    <col min="31" max="31" width="13" style="80" customWidth="1"/>
    <col min="32" max="32" width="11.875" customWidth="1"/>
    <col min="33" max="33" width="10" customWidth="1"/>
    <col min="34" max="34" width="11.5" customWidth="1"/>
    <col min="37" max="37" width="10.75" customWidth="1"/>
    <col min="38" max="38" width="10.5" customWidth="1"/>
    <col min="39" max="39" width="10.625" customWidth="1"/>
    <col min="40" max="40" width="16.875" customWidth="1"/>
    <col min="41" max="41" width="14.375" customWidth="1"/>
    <col min="42" max="42" width="15" customWidth="1"/>
    <col min="43" max="43" width="11.875" customWidth="1"/>
    <col min="44" max="44" width="13.75" customWidth="1"/>
    <col min="45" max="45" width="23.75" customWidth="1"/>
    <col min="46" max="46" width="14.625" customWidth="1"/>
    <col min="47" max="47" width="12.625" customWidth="1"/>
    <col min="48" max="48" width="11.75" customWidth="1"/>
    <col min="49" max="49" width="20.375" customWidth="1"/>
    <col min="50" max="50" width="15.75" customWidth="1"/>
    <col min="51" max="51" width="13.5" customWidth="1"/>
    <col min="53" max="53" width="10.625" customWidth="1"/>
    <col min="54" max="54" width="12.875" customWidth="1"/>
    <col min="56" max="56" width="12.375" customWidth="1"/>
    <col min="57" max="57" width="12.5" customWidth="1"/>
    <col min="59" max="59" width="12.75" style="81" customWidth="1"/>
    <col min="75" max="75" width="11.25" customWidth="1"/>
    <col min="76" max="76" width="11.5" customWidth="1"/>
    <col min="77" max="77" width="10.875" customWidth="1"/>
    <col min="78" max="78" width="11" customWidth="1"/>
    <col min="79" max="79" width="10.5" customWidth="1"/>
    <col min="80" max="80" width="12.25" customWidth="1"/>
    <col min="81" max="81" width="11" customWidth="1"/>
    <col min="82" max="82" width="11.875" customWidth="1"/>
    <col min="83" max="83" width="10.5" customWidth="1"/>
    <col min="84" max="84" width="12.125" customWidth="1"/>
    <col min="86" max="86" width="12.375" customWidth="1"/>
  </cols>
  <sheetData>
    <row r="2" spans="1:86">
      <c r="A2" s="82" t="s">
        <v>1</v>
      </c>
      <c r="B2" s="82" t="s">
        <v>2</v>
      </c>
      <c r="C2" s="82" t="s">
        <v>3</v>
      </c>
      <c r="D2" s="82" t="s">
        <v>4</v>
      </c>
      <c r="E2" s="82" t="s">
        <v>5</v>
      </c>
      <c r="F2" s="82" t="s">
        <v>6</v>
      </c>
      <c r="G2" s="82" t="s">
        <v>7</v>
      </c>
      <c r="H2" s="82" t="s">
        <v>8</v>
      </c>
      <c r="I2" s="82" t="s">
        <v>9</v>
      </c>
      <c r="J2" s="82" t="s">
        <v>10</v>
      </c>
      <c r="K2" s="82" t="s">
        <v>11</v>
      </c>
      <c r="L2" s="82" t="s">
        <v>12</v>
      </c>
      <c r="M2" s="82" t="s">
        <v>13</v>
      </c>
      <c r="N2" s="82" t="s">
        <v>14</v>
      </c>
      <c r="O2" s="82" t="s">
        <v>15</v>
      </c>
      <c r="P2" s="82" t="s">
        <v>16</v>
      </c>
      <c r="Q2" s="82" t="s">
        <v>17</v>
      </c>
      <c r="R2" s="82" t="s">
        <v>18</v>
      </c>
      <c r="S2" s="82" t="s">
        <v>19</v>
      </c>
      <c r="T2" s="82" t="s">
        <v>20</v>
      </c>
      <c r="U2" s="82" t="s">
        <v>21</v>
      </c>
      <c r="V2" s="82" t="s">
        <v>22</v>
      </c>
      <c r="W2" s="82" t="s">
        <v>23</v>
      </c>
      <c r="X2" s="82" t="s">
        <v>24</v>
      </c>
      <c r="Y2" s="82" t="s">
        <v>25</v>
      </c>
      <c r="Z2" s="82" t="s">
        <v>26</v>
      </c>
      <c r="AA2" s="82" t="s">
        <v>27</v>
      </c>
      <c r="AB2" s="82" t="s">
        <v>28</v>
      </c>
      <c r="AC2" s="82" t="s">
        <v>29</v>
      </c>
      <c r="AD2" s="82" t="s">
        <v>30</v>
      </c>
      <c r="AE2" s="82" t="s">
        <v>31</v>
      </c>
      <c r="AF2" s="82" t="s">
        <v>32</v>
      </c>
      <c r="AG2" s="82" t="s">
        <v>33</v>
      </c>
      <c r="AH2" s="82" t="s">
        <v>34</v>
      </c>
      <c r="AI2" s="82" t="s">
        <v>35</v>
      </c>
      <c r="AJ2" s="82" t="s">
        <v>36</v>
      </c>
      <c r="AK2" s="82" t="s">
        <v>37</v>
      </c>
      <c r="AL2" s="82" t="s">
        <v>38</v>
      </c>
      <c r="AM2" s="82" t="s">
        <v>39</v>
      </c>
      <c r="AN2" s="82" t="s">
        <v>40</v>
      </c>
      <c r="AO2" s="82" t="s">
        <v>41</v>
      </c>
      <c r="AP2" s="82" t="s">
        <v>42</v>
      </c>
      <c r="AQ2" s="82" t="s">
        <v>43</v>
      </c>
      <c r="AR2" s="82" t="s">
        <v>44</v>
      </c>
      <c r="AS2" s="82" t="s">
        <v>45</v>
      </c>
      <c r="AT2" s="82" t="s">
        <v>46</v>
      </c>
      <c r="AU2" s="82" t="s">
        <v>47</v>
      </c>
      <c r="AV2" s="82" t="s">
        <v>48</v>
      </c>
      <c r="AW2" s="82" t="s">
        <v>49</v>
      </c>
      <c r="AX2" s="82" t="s">
        <v>50</v>
      </c>
      <c r="AY2" s="82" t="s">
        <v>51</v>
      </c>
      <c r="AZ2" s="82" t="s">
        <v>52</v>
      </c>
      <c r="BA2" s="82" t="s">
        <v>53</v>
      </c>
      <c r="BB2" s="82" t="s">
        <v>54</v>
      </c>
      <c r="BC2" s="82" t="s">
        <v>55</v>
      </c>
      <c r="BD2" s="82" t="s">
        <v>56</v>
      </c>
      <c r="BE2" s="82" t="s">
        <v>57</v>
      </c>
      <c r="BF2" s="82" t="s">
        <v>58</v>
      </c>
      <c r="BG2" s="82" t="s">
        <v>59</v>
      </c>
      <c r="BH2" s="82" t="s">
        <v>60</v>
      </c>
      <c r="BI2" s="82" t="s">
        <v>61</v>
      </c>
      <c r="BJ2" s="82" t="s">
        <v>62</v>
      </c>
      <c r="BK2" s="82" t="s">
        <v>63</v>
      </c>
      <c r="BL2" s="82" t="s">
        <v>64</v>
      </c>
      <c r="BM2" s="82" t="s">
        <v>152</v>
      </c>
      <c r="BN2" s="82" t="s">
        <v>153</v>
      </c>
      <c r="BO2" s="82" t="s">
        <v>154</v>
      </c>
      <c r="BP2" s="82" t="s">
        <v>155</v>
      </c>
      <c r="BQ2" s="82" t="s">
        <v>156</v>
      </c>
      <c r="BR2" s="82" t="s">
        <v>157</v>
      </c>
      <c r="BS2" s="82" t="s">
        <v>158</v>
      </c>
      <c r="BT2" s="82" t="s">
        <v>159</v>
      </c>
      <c r="BU2" s="82" t="s">
        <v>160</v>
      </c>
      <c r="BV2" s="82" t="s">
        <v>161</v>
      </c>
      <c r="BW2" s="82" t="s">
        <v>162</v>
      </c>
      <c r="BX2" s="82" t="s">
        <v>163</v>
      </c>
      <c r="BY2" s="82" t="s">
        <v>164</v>
      </c>
      <c r="BZ2" s="82" t="s">
        <v>165</v>
      </c>
      <c r="CA2" s="82" t="s">
        <v>166</v>
      </c>
      <c r="CB2" s="82" t="s">
        <v>167</v>
      </c>
      <c r="CC2" s="82" t="s">
        <v>168</v>
      </c>
      <c r="CD2" s="82" t="s">
        <v>169</v>
      </c>
      <c r="CE2" s="82" t="s">
        <v>170</v>
      </c>
      <c r="CF2" s="82" t="s">
        <v>171</v>
      </c>
      <c r="CG2" s="82" t="s">
        <v>172</v>
      </c>
      <c r="CH2" s="82" t="s">
        <v>173</v>
      </c>
    </row>
    <row r="3" ht="27" customHeight="1" spans="1:86">
      <c r="A3" s="83" t="s">
        <v>65</v>
      </c>
      <c r="B3" s="60" t="s">
        <v>300</v>
      </c>
      <c r="C3" s="60" t="s">
        <v>301</v>
      </c>
      <c r="D3" s="59" t="s">
        <v>302</v>
      </c>
      <c r="E3" s="59" t="s">
        <v>303</v>
      </c>
      <c r="F3" s="47" t="s">
        <v>304</v>
      </c>
      <c r="G3" s="47" t="s">
        <v>305</v>
      </c>
      <c r="H3" s="47" t="s">
        <v>306</v>
      </c>
      <c r="I3" s="38" t="s">
        <v>307</v>
      </c>
      <c r="J3" s="38" t="s">
        <v>308</v>
      </c>
      <c r="K3" s="38"/>
      <c r="L3" s="38"/>
      <c r="M3" s="38"/>
      <c r="N3" s="38" t="s">
        <v>309</v>
      </c>
      <c r="O3" s="38" t="s">
        <v>310</v>
      </c>
      <c r="P3" s="47" t="s">
        <v>311</v>
      </c>
      <c r="Q3" s="38" t="s">
        <v>312</v>
      </c>
      <c r="R3" s="38" t="s">
        <v>313</v>
      </c>
      <c r="S3" s="60" t="s">
        <v>314</v>
      </c>
      <c r="T3" s="60" t="s">
        <v>315</v>
      </c>
      <c r="U3" s="38" t="s">
        <v>316</v>
      </c>
      <c r="V3" s="84" t="s">
        <v>317</v>
      </c>
      <c r="W3" s="85" t="s">
        <v>318</v>
      </c>
      <c r="X3" s="86" t="s">
        <v>319</v>
      </c>
      <c r="Y3" s="85" t="s">
        <v>320</v>
      </c>
      <c r="Z3" s="87" t="s">
        <v>321</v>
      </c>
      <c r="AA3" s="87" t="s">
        <v>322</v>
      </c>
      <c r="AB3" s="87" t="s">
        <v>323</v>
      </c>
      <c r="AC3" s="84" t="s">
        <v>324</v>
      </c>
      <c r="AD3" s="84" t="s">
        <v>325</v>
      </c>
      <c r="AE3" s="84" t="s">
        <v>326</v>
      </c>
      <c r="AF3" s="38" t="s">
        <v>327</v>
      </c>
      <c r="AG3" s="88" t="s">
        <v>77</v>
      </c>
      <c r="AH3" s="88"/>
      <c r="AI3" s="88"/>
      <c r="AJ3" s="88"/>
      <c r="AK3" s="88"/>
      <c r="AL3" s="88"/>
      <c r="AM3" s="88"/>
      <c r="AN3" s="88"/>
      <c r="AO3" s="88"/>
      <c r="AP3" s="88"/>
      <c r="AQ3" s="88"/>
      <c r="AR3" s="88"/>
      <c r="AS3" s="31" t="s">
        <v>328</v>
      </c>
      <c r="AT3" s="32"/>
      <c r="AU3" s="32"/>
      <c r="AV3" s="61"/>
      <c r="AW3" s="89" t="s">
        <v>329</v>
      </c>
      <c r="AX3" s="62" t="s">
        <v>330</v>
      </c>
      <c r="AY3" s="62"/>
      <c r="AZ3" s="62"/>
      <c r="BA3" s="62"/>
      <c r="BB3" s="62"/>
      <c r="BC3" s="62"/>
      <c r="BD3" s="62"/>
      <c r="BE3" s="62"/>
      <c r="BF3" s="62"/>
      <c r="BG3" s="62"/>
      <c r="BH3" s="62" t="s">
        <v>331</v>
      </c>
      <c r="BI3" s="62"/>
      <c r="BJ3" s="62"/>
      <c r="BK3" s="31" t="s">
        <v>332</v>
      </c>
      <c r="BL3" s="32"/>
      <c r="BM3" s="32"/>
      <c r="BN3" s="32"/>
      <c r="BO3" s="31" t="s">
        <v>333</v>
      </c>
      <c r="BP3" s="32"/>
      <c r="BQ3" s="32"/>
      <c r="BR3" s="32"/>
      <c r="BS3" s="31" t="s">
        <v>334</v>
      </c>
      <c r="BT3" s="32"/>
      <c r="BU3" s="32"/>
      <c r="BV3" s="32"/>
      <c r="BW3" s="62" t="s">
        <v>335</v>
      </c>
      <c r="BX3" s="62"/>
      <c r="BY3" s="62"/>
      <c r="BZ3" s="62"/>
      <c r="CA3" s="62"/>
      <c r="CB3" s="62"/>
      <c r="CC3" s="62"/>
      <c r="CD3" s="62"/>
      <c r="CE3" s="62"/>
      <c r="CF3" s="62"/>
      <c r="CG3" s="62"/>
      <c r="CH3" s="62"/>
    </row>
    <row r="4" ht="30" customHeight="1" spans="1:86">
      <c r="A4" s="90"/>
      <c r="B4" s="60"/>
      <c r="C4" s="91"/>
      <c r="D4" s="59"/>
      <c r="E4" s="59"/>
      <c r="F4" s="69"/>
      <c r="G4" s="69"/>
      <c r="H4" s="69"/>
      <c r="I4" s="38"/>
      <c r="J4" s="38" t="s">
        <v>239</v>
      </c>
      <c r="K4" s="38" t="s">
        <v>240</v>
      </c>
      <c r="L4" s="38" t="s">
        <v>241</v>
      </c>
      <c r="M4" s="38" t="s">
        <v>242</v>
      </c>
      <c r="N4" s="38"/>
      <c r="O4" s="30"/>
      <c r="P4" s="47"/>
      <c r="Q4" s="38"/>
      <c r="R4" s="38"/>
      <c r="S4" s="91"/>
      <c r="T4" s="91"/>
      <c r="U4" s="30"/>
      <c r="V4" s="84"/>
      <c r="W4" s="92"/>
      <c r="X4" s="93"/>
      <c r="Y4" s="92"/>
      <c r="Z4" s="94"/>
      <c r="AA4" s="94"/>
      <c r="AB4" s="94"/>
      <c r="AC4" s="84"/>
      <c r="AD4" s="84"/>
      <c r="AE4" s="84"/>
      <c r="AF4" s="38"/>
      <c r="AG4" s="47" t="s">
        <v>336</v>
      </c>
      <c r="AH4" s="47" t="s">
        <v>337</v>
      </c>
      <c r="AI4" s="47" t="s">
        <v>338</v>
      </c>
      <c r="AJ4" s="47" t="s">
        <v>339</v>
      </c>
      <c r="AK4" s="47" t="s">
        <v>340</v>
      </c>
      <c r="AL4" s="47" t="s">
        <v>85</v>
      </c>
      <c r="AM4" s="47" t="s">
        <v>341</v>
      </c>
      <c r="AN4" s="47" t="s">
        <v>342</v>
      </c>
      <c r="AO4" s="47" t="s">
        <v>343</v>
      </c>
      <c r="AP4" s="47" t="s">
        <v>344</v>
      </c>
      <c r="AQ4" s="47" t="s">
        <v>345</v>
      </c>
      <c r="AR4" s="69" t="s">
        <v>346</v>
      </c>
      <c r="AS4" s="47" t="s">
        <v>347</v>
      </c>
      <c r="AT4" s="47" t="s">
        <v>348</v>
      </c>
      <c r="AU4" s="47" t="s">
        <v>349</v>
      </c>
      <c r="AV4" s="47" t="s">
        <v>350</v>
      </c>
      <c r="AW4" s="47" t="s">
        <v>351</v>
      </c>
      <c r="AX4" s="92" t="s">
        <v>352</v>
      </c>
      <c r="AY4" s="92" t="s">
        <v>353</v>
      </c>
      <c r="AZ4" s="92" t="s">
        <v>354</v>
      </c>
      <c r="BA4" s="92" t="s">
        <v>355</v>
      </c>
      <c r="BB4" s="92" t="s">
        <v>356</v>
      </c>
      <c r="BC4" s="92" t="s">
        <v>354</v>
      </c>
      <c r="BD4" s="92" t="s">
        <v>355</v>
      </c>
      <c r="BE4" s="92" t="s">
        <v>357</v>
      </c>
      <c r="BF4" s="92" t="s">
        <v>354</v>
      </c>
      <c r="BG4" s="95" t="s">
        <v>355</v>
      </c>
      <c r="BH4" s="96" t="s">
        <v>358</v>
      </c>
      <c r="BI4" s="96" t="s">
        <v>359</v>
      </c>
      <c r="BJ4" s="96" t="s">
        <v>360</v>
      </c>
      <c r="BK4" s="84" t="s">
        <v>361</v>
      </c>
      <c r="BL4" s="84" t="s">
        <v>359</v>
      </c>
      <c r="BM4" s="84" t="s">
        <v>360</v>
      </c>
      <c r="BN4" s="84" t="s">
        <v>362</v>
      </c>
      <c r="BO4" s="84" t="s">
        <v>361</v>
      </c>
      <c r="BP4" s="84" t="s">
        <v>359</v>
      </c>
      <c r="BQ4" s="84" t="s">
        <v>360</v>
      </c>
      <c r="BR4" s="84" t="s">
        <v>362</v>
      </c>
      <c r="BS4" s="84" t="s">
        <v>361</v>
      </c>
      <c r="BT4" s="84" t="s">
        <v>359</v>
      </c>
      <c r="BU4" s="84" t="s">
        <v>360</v>
      </c>
      <c r="BV4" s="84" t="s">
        <v>362</v>
      </c>
      <c r="BW4" s="69" t="s">
        <v>363</v>
      </c>
      <c r="BX4" s="69" t="s">
        <v>364</v>
      </c>
      <c r="BY4" s="69" t="s">
        <v>365</v>
      </c>
      <c r="BZ4" s="69" t="s">
        <v>364</v>
      </c>
      <c r="CA4" s="69" t="s">
        <v>366</v>
      </c>
      <c r="CB4" s="69" t="s">
        <v>364</v>
      </c>
      <c r="CC4" s="69" t="s">
        <v>367</v>
      </c>
      <c r="CD4" s="69" t="s">
        <v>364</v>
      </c>
      <c r="CE4" s="69" t="s">
        <v>368</v>
      </c>
      <c r="CF4" s="69" t="s">
        <v>364</v>
      </c>
      <c r="CG4" s="69" t="s">
        <v>369</v>
      </c>
      <c r="CH4" s="69" t="s">
        <v>364</v>
      </c>
    </row>
    <row r="5" ht="16.5" spans="1:86">
      <c r="A5" s="97" t="s">
        <v>131</v>
      </c>
      <c r="B5" s="3">
        <v>280</v>
      </c>
      <c r="C5" s="3">
        <f>B5/'Ⅰ-1 临床教学部-基本信息'!AU5</f>
        <v>1.4</v>
      </c>
      <c r="D5" s="3">
        <v>300</v>
      </c>
      <c r="E5" s="3">
        <f>D5/'Ⅰ-1 临床教学部-基本信息'!AU5</f>
        <v>1.5</v>
      </c>
      <c r="F5" s="3">
        <v>20</v>
      </c>
      <c r="G5" s="3">
        <v>6</v>
      </c>
      <c r="H5" s="3">
        <f>G5/F5*100</f>
        <v>30</v>
      </c>
      <c r="I5" s="3">
        <v>3</v>
      </c>
      <c r="J5" s="3">
        <v>1</v>
      </c>
      <c r="K5" s="3">
        <v>1</v>
      </c>
      <c r="L5" s="3">
        <v>0</v>
      </c>
      <c r="M5" s="3">
        <v>1</v>
      </c>
      <c r="N5" s="3">
        <v>1</v>
      </c>
      <c r="O5" s="3" t="s">
        <v>288</v>
      </c>
      <c r="P5" s="3" t="s">
        <v>289</v>
      </c>
      <c r="Q5" s="3">
        <v>8</v>
      </c>
      <c r="R5" s="3">
        <f>Q5*10000/'Ⅰ-1 临床教学部-基本信息'!AU5</f>
        <v>400</v>
      </c>
      <c r="S5" s="3">
        <v>290</v>
      </c>
      <c r="T5" s="3">
        <f>S5/'Ⅰ-1 临床教学部-基本信息'!AU5</f>
        <v>1.45</v>
      </c>
      <c r="U5" s="3" t="s">
        <v>288</v>
      </c>
      <c r="V5" s="97" t="s">
        <v>288</v>
      </c>
      <c r="W5" s="97" t="s">
        <v>370</v>
      </c>
      <c r="X5" s="97" t="s">
        <v>370</v>
      </c>
      <c r="Y5" s="97" t="s">
        <v>370</v>
      </c>
      <c r="Z5" s="97" t="s">
        <v>370</v>
      </c>
      <c r="AA5" s="97" t="s">
        <v>289</v>
      </c>
      <c r="AB5" s="97" t="s">
        <v>299</v>
      </c>
      <c r="AC5" s="97" t="s">
        <v>299</v>
      </c>
      <c r="AD5" s="97" t="s">
        <v>289</v>
      </c>
      <c r="AE5" s="97" t="s">
        <v>289</v>
      </c>
      <c r="AF5" s="98" t="s">
        <v>370</v>
      </c>
      <c r="AG5" s="98" t="s">
        <v>370</v>
      </c>
      <c r="AH5" s="98" t="s">
        <v>370</v>
      </c>
      <c r="AI5" s="98" t="s">
        <v>370</v>
      </c>
      <c r="AJ5" s="98" t="s">
        <v>370</v>
      </c>
      <c r="AK5" s="98" t="s">
        <v>370</v>
      </c>
      <c r="AL5" s="98" t="s">
        <v>370</v>
      </c>
      <c r="AM5" s="98" t="s">
        <v>370</v>
      </c>
      <c r="AN5" s="98" t="s">
        <v>370</v>
      </c>
      <c r="AO5" s="98" t="s">
        <v>370</v>
      </c>
      <c r="AP5" s="98" t="s">
        <v>370</v>
      </c>
      <c r="AQ5" s="98" t="s">
        <v>370</v>
      </c>
      <c r="AR5" s="8" t="e" cm="1">
        <f ca="1" t="array" ref="AR5">AF5:'Ⅰ-1 临床教学部-基本信息'!AU5</f>
        <v>#VALUE!</v>
      </c>
      <c r="AS5" s="98">
        <v>50</v>
      </c>
      <c r="AT5" s="98">
        <v>5</v>
      </c>
      <c r="AU5" s="98">
        <v>30</v>
      </c>
      <c r="AV5" s="98">
        <v>30</v>
      </c>
      <c r="AW5" s="98">
        <v>5</v>
      </c>
      <c r="AX5" s="97">
        <v>1000</v>
      </c>
      <c r="AY5" s="97">
        <v>1000</v>
      </c>
      <c r="AZ5" s="97">
        <v>110</v>
      </c>
      <c r="BA5" s="97">
        <f>AZ5/AY5*100</f>
        <v>11</v>
      </c>
      <c r="BB5" s="97">
        <v>1000</v>
      </c>
      <c r="BC5" s="97">
        <v>126</v>
      </c>
      <c r="BD5" s="97">
        <f>BC5/BB5*100</f>
        <v>12.6</v>
      </c>
      <c r="BE5" s="97">
        <v>1210</v>
      </c>
      <c r="BF5" s="97">
        <v>134</v>
      </c>
      <c r="BG5" s="99">
        <f>BF5/BE5*100</f>
        <v>11.0743801652893</v>
      </c>
      <c r="BH5" s="97">
        <v>138</v>
      </c>
      <c r="BI5" s="97">
        <v>40</v>
      </c>
      <c r="BJ5" s="97">
        <v>50</v>
      </c>
      <c r="BK5" s="97">
        <v>20</v>
      </c>
      <c r="BL5" s="97">
        <v>60</v>
      </c>
      <c r="BM5" s="97">
        <v>31</v>
      </c>
      <c r="BN5" s="97">
        <v>25</v>
      </c>
      <c r="BO5" s="97">
        <v>20</v>
      </c>
      <c r="BP5" s="97">
        <v>60</v>
      </c>
      <c r="BQ5" s="97">
        <v>31</v>
      </c>
      <c r="BR5" s="97">
        <v>25</v>
      </c>
      <c r="BS5" s="97">
        <v>20</v>
      </c>
      <c r="BT5" s="97">
        <v>60</v>
      </c>
      <c r="BU5" s="97">
        <v>31</v>
      </c>
      <c r="BV5" s="97">
        <v>25</v>
      </c>
    </row>
    <row r="6" ht="16.5" spans="1:86">
      <c r="A6" s="97"/>
      <c r="B6" s="3"/>
      <c r="C6" s="3">
        <f>B6/'Ⅰ-1 临床教学部-基本信息'!AU5</f>
        <v>0</v>
      </c>
      <c r="D6" s="3"/>
      <c r="E6" s="3">
        <f>D6/'Ⅰ-1 临床教学部-基本信息'!AU5</f>
        <v>0</v>
      </c>
      <c r="F6" s="3"/>
      <c r="G6" s="3"/>
      <c r="H6" s="3" t="e">
        <f>G6/F6*100</f>
        <v>#DIV/0!</v>
      </c>
      <c r="I6" s="3"/>
      <c r="J6" s="3"/>
      <c r="K6" s="3"/>
      <c r="L6" s="3"/>
      <c r="M6" s="3"/>
      <c r="N6" s="3"/>
      <c r="O6" s="3"/>
      <c r="P6" s="3"/>
      <c r="Q6" s="3"/>
      <c r="R6" s="3">
        <f>Q6*10000/'Ⅰ-1 临床教学部-基本信息'!AU5</f>
        <v>0</v>
      </c>
      <c r="S6" s="3"/>
      <c r="T6" s="3">
        <f>S6/'Ⅰ-1 临床教学部-基本信息'!AU5</f>
        <v>0</v>
      </c>
      <c r="U6" s="3"/>
      <c r="V6" s="97"/>
      <c r="W6" s="97"/>
      <c r="X6" s="97"/>
      <c r="Y6" s="97"/>
      <c r="Z6" s="97"/>
      <c r="AA6" s="97"/>
      <c r="AB6" s="97"/>
      <c r="AC6" s="97"/>
      <c r="AD6" s="97"/>
      <c r="AE6" s="97"/>
      <c r="AX6" s="97"/>
      <c r="AY6" s="97"/>
      <c r="AZ6" s="97"/>
      <c r="BA6" s="97"/>
      <c r="BB6" s="97"/>
      <c r="BC6" s="97"/>
      <c r="BD6" s="97"/>
      <c r="BE6" s="97"/>
      <c r="BF6" s="97"/>
      <c r="BG6" s="99"/>
      <c r="BH6" s="97"/>
      <c r="BI6" s="97"/>
      <c r="BJ6" s="97"/>
      <c r="BK6" s="97"/>
      <c r="BL6" s="97"/>
      <c r="BM6" s="97"/>
      <c r="BN6" s="97"/>
      <c r="BO6" s="97"/>
      <c r="BP6" s="97"/>
      <c r="BQ6" s="97"/>
      <c r="BR6" s="97"/>
      <c r="BS6" s="97"/>
      <c r="BT6" s="97"/>
      <c r="BU6" s="97"/>
      <c r="BV6" s="97"/>
    </row>
    <row r="7" spans="1:86">
      <c r="E7" s="3"/>
      <c r="AF7" s="53" t="s">
        <v>139</v>
      </c>
      <c r="AG7" s="53" t="s">
        <v>139</v>
      </c>
      <c r="AH7" s="53" t="s">
        <v>139</v>
      </c>
      <c r="AI7" s="53" t="s">
        <v>139</v>
      </c>
      <c r="AJ7" s="53" t="s">
        <v>139</v>
      </c>
      <c r="AK7" s="53" t="s">
        <v>139</v>
      </c>
      <c r="AL7" s="53" t="s">
        <v>139</v>
      </c>
      <c r="AM7" s="53" t="s">
        <v>139</v>
      </c>
      <c r="AN7" s="53" t="s">
        <v>139</v>
      </c>
      <c r="AO7" s="53" t="s">
        <v>139</v>
      </c>
      <c r="AP7" s="53" t="s">
        <v>139</v>
      </c>
      <c r="AQ7" s="53" t="s">
        <v>139</v>
      </c>
      <c r="AR7" s="71" t="s">
        <v>295</v>
      </c>
      <c r="AS7" s="53" t="s">
        <v>139</v>
      </c>
      <c r="AT7" s="53" t="s">
        <v>139</v>
      </c>
      <c r="AU7" s="53" t="s">
        <v>139</v>
      </c>
      <c r="AV7" s="53" t="s">
        <v>139</v>
      </c>
      <c r="AW7" s="53" t="s">
        <v>139</v>
      </c>
      <c r="AX7" s="53" t="s">
        <v>139</v>
      </c>
      <c r="AY7" s="53" t="s">
        <v>139</v>
      </c>
      <c r="AZ7" s="53" t="s">
        <v>139</v>
      </c>
      <c r="BA7" s="71" t="s">
        <v>295</v>
      </c>
      <c r="BB7" s="53" t="s">
        <v>139</v>
      </c>
      <c r="BC7" s="53" t="s">
        <v>139</v>
      </c>
      <c r="BD7" s="71" t="s">
        <v>295</v>
      </c>
      <c r="BE7" s="53" t="s">
        <v>139</v>
      </c>
      <c r="BF7" s="53" t="s">
        <v>139</v>
      </c>
      <c r="BG7" s="71" t="s">
        <v>295</v>
      </c>
      <c r="BH7" s="53" t="s">
        <v>139</v>
      </c>
      <c r="BI7" s="53" t="s">
        <v>139</v>
      </c>
      <c r="BJ7" s="53" t="s">
        <v>139</v>
      </c>
      <c r="BK7" s="53" t="s">
        <v>139</v>
      </c>
      <c r="BL7" s="53" t="s">
        <v>139</v>
      </c>
      <c r="BM7" s="53" t="s">
        <v>139</v>
      </c>
      <c r="BN7" s="53" t="s">
        <v>139</v>
      </c>
      <c r="BO7" s="53" t="s">
        <v>139</v>
      </c>
      <c r="BP7" s="53" t="s">
        <v>139</v>
      </c>
      <c r="BQ7" s="53" t="s">
        <v>139</v>
      </c>
      <c r="BR7" s="53" t="s">
        <v>139</v>
      </c>
      <c r="BS7" s="53" t="s">
        <v>139</v>
      </c>
      <c r="BT7" s="53" t="s">
        <v>139</v>
      </c>
      <c r="BU7" s="53" t="s">
        <v>139</v>
      </c>
      <c r="BV7" s="53" t="s">
        <v>139</v>
      </c>
      <c r="BW7" s="53" t="s">
        <v>136</v>
      </c>
      <c r="BX7" s="53" t="s">
        <v>139</v>
      </c>
      <c r="BY7" s="53" t="s">
        <v>136</v>
      </c>
      <c r="BZ7" s="53" t="s">
        <v>139</v>
      </c>
      <c r="CA7" s="53" t="s">
        <v>136</v>
      </c>
      <c r="CB7" s="53" t="s">
        <v>139</v>
      </c>
      <c r="CC7" s="53" t="s">
        <v>136</v>
      </c>
      <c r="CD7" s="53" t="s">
        <v>139</v>
      </c>
      <c r="CE7" s="53" t="s">
        <v>136</v>
      </c>
      <c r="CF7" s="53" t="s">
        <v>139</v>
      </c>
      <c r="CG7" s="53" t="s">
        <v>136</v>
      </c>
      <c r="CH7" s="53" t="s">
        <v>139</v>
      </c>
    </row>
    <row r="8" spans="1:86">
      <c r="B8" s="53" t="s">
        <v>139</v>
      </c>
      <c r="C8" s="71" t="s">
        <v>295</v>
      </c>
      <c r="D8" s="53" t="s">
        <v>139</v>
      </c>
      <c r="E8" s="71" t="s">
        <v>295</v>
      </c>
      <c r="F8" s="53" t="s">
        <v>139</v>
      </c>
      <c r="G8" s="53" t="s">
        <v>139</v>
      </c>
      <c r="H8" s="71" t="s">
        <v>295</v>
      </c>
      <c r="I8" s="53" t="s">
        <v>139</v>
      </c>
      <c r="J8" s="53" t="s">
        <v>139</v>
      </c>
      <c r="K8" s="53" t="s">
        <v>139</v>
      </c>
      <c r="L8" s="53" t="s">
        <v>139</v>
      </c>
      <c r="M8" s="53" t="s">
        <v>139</v>
      </c>
      <c r="N8" s="53" t="s">
        <v>139</v>
      </c>
      <c r="O8" s="53" t="s">
        <v>137</v>
      </c>
      <c r="P8" s="53" t="s">
        <v>137</v>
      </c>
      <c r="Q8" s="53" t="s">
        <v>139</v>
      </c>
      <c r="R8" s="71" t="s">
        <v>295</v>
      </c>
      <c r="S8" s="53" t="s">
        <v>139</v>
      </c>
      <c r="T8" s="71" t="s">
        <v>295</v>
      </c>
      <c r="U8" s="53" t="s">
        <v>137</v>
      </c>
      <c r="V8" s="53" t="s">
        <v>137</v>
      </c>
      <c r="W8" s="53" t="s">
        <v>139</v>
      </c>
      <c r="X8" s="53" t="s">
        <v>139</v>
      </c>
      <c r="Y8" s="53" t="s">
        <v>139</v>
      </c>
      <c r="Z8" s="53" t="s">
        <v>139</v>
      </c>
      <c r="AA8" s="53" t="s">
        <v>137</v>
      </c>
      <c r="AB8" s="53" t="s">
        <v>137</v>
      </c>
      <c r="AC8" s="53" t="s">
        <v>137</v>
      </c>
      <c r="AD8" s="53" t="s">
        <v>137</v>
      </c>
      <c r="AE8" s="53" t="s">
        <v>137</v>
      </c>
      <c r="AF8" s="54" t="s">
        <v>145</v>
      </c>
      <c r="AG8" s="54" t="s">
        <v>145</v>
      </c>
      <c r="AH8" s="54" t="s">
        <v>298</v>
      </c>
      <c r="AI8" s="54" t="s">
        <v>145</v>
      </c>
      <c r="AJ8" s="54" t="s">
        <v>145</v>
      </c>
      <c r="AK8" s="54" t="s">
        <v>298</v>
      </c>
      <c r="AL8" s="54" t="s">
        <v>145</v>
      </c>
      <c r="AM8" s="54" t="s">
        <v>298</v>
      </c>
      <c r="AN8" s="54" t="s">
        <v>298</v>
      </c>
      <c r="AO8" s="54" t="s">
        <v>298</v>
      </c>
      <c r="AP8" s="54" t="s">
        <v>298</v>
      </c>
      <c r="AQ8" s="54" t="s">
        <v>298</v>
      </c>
      <c r="AR8" s="72" t="s">
        <v>371</v>
      </c>
      <c r="AS8" s="54" t="s">
        <v>372</v>
      </c>
      <c r="AT8" s="54" t="s">
        <v>372</v>
      </c>
      <c r="AU8" s="54" t="s">
        <v>145</v>
      </c>
      <c r="AV8" s="54" t="s">
        <v>298</v>
      </c>
      <c r="AW8" s="54" t="s">
        <v>373</v>
      </c>
      <c r="AX8" s="54" t="s">
        <v>374</v>
      </c>
      <c r="AY8" s="54" t="s">
        <v>374</v>
      </c>
      <c r="AZ8" s="54" t="s">
        <v>374</v>
      </c>
      <c r="BA8" s="72" t="s">
        <v>375</v>
      </c>
      <c r="BB8" s="54" t="s">
        <v>374</v>
      </c>
      <c r="BC8" s="54" t="s">
        <v>374</v>
      </c>
      <c r="BD8" s="72" t="s">
        <v>375</v>
      </c>
      <c r="BE8" s="54" t="s">
        <v>374</v>
      </c>
      <c r="BF8" s="54" t="s">
        <v>374</v>
      </c>
      <c r="BG8" s="72" t="s">
        <v>375</v>
      </c>
      <c r="BH8" s="54" t="s">
        <v>374</v>
      </c>
      <c r="BI8" s="54" t="s">
        <v>374</v>
      </c>
      <c r="BJ8" s="54" t="s">
        <v>374</v>
      </c>
      <c r="BK8" s="54" t="s">
        <v>374</v>
      </c>
      <c r="BL8" s="54" t="s">
        <v>374</v>
      </c>
      <c r="BM8" s="54" t="s">
        <v>374</v>
      </c>
      <c r="BN8" s="54" t="s">
        <v>374</v>
      </c>
      <c r="BO8" s="54" t="s">
        <v>374</v>
      </c>
      <c r="BP8" s="54" t="s">
        <v>374</v>
      </c>
      <c r="BQ8" s="54" t="s">
        <v>374</v>
      </c>
      <c r="BR8" s="54" t="s">
        <v>374</v>
      </c>
      <c r="BS8" s="54" t="s">
        <v>374</v>
      </c>
      <c r="BT8" s="54" t="s">
        <v>374</v>
      </c>
      <c r="BU8" s="54" t="s">
        <v>374</v>
      </c>
      <c r="BV8" s="54" t="s">
        <v>374</v>
      </c>
      <c r="BW8" s="54"/>
      <c r="BX8" s="54" t="s">
        <v>374</v>
      </c>
      <c r="BY8" s="54"/>
      <c r="BZ8" s="54" t="s">
        <v>374</v>
      </c>
      <c r="CA8" s="54"/>
      <c r="CB8" s="54" t="s">
        <v>374</v>
      </c>
      <c r="CC8" s="54"/>
      <c r="CD8" s="54" t="s">
        <v>374</v>
      </c>
      <c r="CE8" s="54"/>
      <c r="CF8" s="54" t="s">
        <v>374</v>
      </c>
      <c r="CG8" s="54"/>
      <c r="CH8" s="54" t="s">
        <v>374</v>
      </c>
    </row>
    <row r="9" spans="1:86">
      <c r="B9" s="54" t="s">
        <v>376</v>
      </c>
      <c r="C9" s="72" t="s">
        <v>377</v>
      </c>
      <c r="D9" s="54" t="s">
        <v>376</v>
      </c>
      <c r="E9" s="72" t="s">
        <v>378</v>
      </c>
      <c r="F9" s="54" t="s">
        <v>379</v>
      </c>
      <c r="G9" s="54" t="s">
        <v>379</v>
      </c>
      <c r="H9" s="72" t="s">
        <v>375</v>
      </c>
      <c r="I9" s="54" t="s">
        <v>379</v>
      </c>
      <c r="J9" s="54" t="s">
        <v>379</v>
      </c>
      <c r="K9" s="54" t="s">
        <v>379</v>
      </c>
      <c r="L9" s="54" t="s">
        <v>379</v>
      </c>
      <c r="M9" s="54" t="s">
        <v>379</v>
      </c>
      <c r="N9" s="54" t="s">
        <v>379</v>
      </c>
      <c r="O9" s="53" t="s">
        <v>140</v>
      </c>
      <c r="P9" s="53" t="s">
        <v>140</v>
      </c>
      <c r="Q9" s="54" t="s">
        <v>379</v>
      </c>
      <c r="R9" s="72" t="s">
        <v>380</v>
      </c>
      <c r="S9" s="54" t="s">
        <v>376</v>
      </c>
      <c r="T9" s="72" t="s">
        <v>381</v>
      </c>
      <c r="U9" s="53" t="s">
        <v>140</v>
      </c>
      <c r="V9" s="53" t="s">
        <v>140</v>
      </c>
      <c r="W9" s="54" t="s">
        <v>376</v>
      </c>
      <c r="X9" s="54" t="s">
        <v>376</v>
      </c>
      <c r="Y9" s="54" t="s">
        <v>376</v>
      </c>
      <c r="Z9" s="54" t="s">
        <v>376</v>
      </c>
      <c r="AA9" s="53" t="s">
        <v>140</v>
      </c>
      <c r="AB9" s="53" t="s">
        <v>140</v>
      </c>
      <c r="AC9" s="53" t="s">
        <v>140</v>
      </c>
      <c r="AD9" s="53" t="s">
        <v>140</v>
      </c>
      <c r="AE9" s="53" t="s">
        <v>140</v>
      </c>
    </row>
    <row r="10" spans="1:86">
      <c r="O10" s="53" t="s">
        <v>288</v>
      </c>
      <c r="P10" s="53" t="s">
        <v>289</v>
      </c>
      <c r="U10" s="53" t="s">
        <v>288</v>
      </c>
      <c r="V10" s="53" t="s">
        <v>288</v>
      </c>
      <c r="AA10" s="53" t="s">
        <v>289</v>
      </c>
      <c r="AB10" s="53" t="s">
        <v>289</v>
      </c>
      <c r="AC10" s="53" t="s">
        <v>289</v>
      </c>
      <c r="AD10" s="53" t="s">
        <v>288</v>
      </c>
      <c r="AE10" s="53" t="s">
        <v>288</v>
      </c>
    </row>
    <row r="11" spans="1:86">
      <c r="O11" s="53" t="s">
        <v>293</v>
      </c>
      <c r="P11" s="53" t="s">
        <v>299</v>
      </c>
      <c r="U11" s="53" t="s">
        <v>293</v>
      </c>
      <c r="V11" s="53" t="s">
        <v>293</v>
      </c>
      <c r="AA11" s="53" t="s">
        <v>299</v>
      </c>
      <c r="AB11" s="53" t="s">
        <v>299</v>
      </c>
      <c r="AC11" s="53" t="s">
        <v>299</v>
      </c>
      <c r="AD11" s="53" t="s">
        <v>293</v>
      </c>
      <c r="AE11" s="53" t="s">
        <v>293</v>
      </c>
    </row>
  </sheetData>
  <mergeCells count="37">
    <mergeCell ref="J3:M3"/>
    <mergeCell ref="AG3:AR3"/>
    <mergeCell ref="AS3:AV3"/>
    <mergeCell ref="AX3:BG3"/>
    <mergeCell ref="BH3:BJ3"/>
    <mergeCell ref="BK3:BN3"/>
    <mergeCell ref="BO3:BR3"/>
    <mergeCell ref="BS3:BV3"/>
    <mergeCell ref="BW3:CH3"/>
    <mergeCell ref="A3:A4"/>
    <mergeCell ref="B3:B4"/>
    <mergeCell ref="C3:C4"/>
    <mergeCell ref="D3:D4"/>
    <mergeCell ref="E3:E4"/>
    <mergeCell ref="F3:F4"/>
    <mergeCell ref="G3:G4"/>
    <mergeCell ref="H3:H4"/>
    <mergeCell ref="I3:I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s>
  <dataValidations count="1">
    <dataValidation type="list" allowBlank="1" showInputMessage="1" showErrorMessage="1" sqref="AA1:AC1 AA7:AC7 AA3:AE6 AA12:AC1048576">
      <formula1>"是,否"</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10"/>
  <sheetViews>
    <sheetView topLeftCell="AB1" workbookViewId="0">
      <selection activeCell="I10" sqref="I10"/>
    </sheetView>
  </sheetViews>
  <sheetFormatPr defaultColWidth="9" defaultRowHeight="13.5"/>
  <cols>
    <col min="1" max="2" width="16.65" customWidth="1"/>
    <col min="3" max="3" width="8.125" customWidth="1"/>
    <col min="4" max="4" width="7.125" customWidth="1"/>
    <col min="5" max="5" width="9.375" customWidth="1"/>
    <col min="6" max="7" width="9.25" customWidth="1"/>
    <col min="8" max="8" width="8.625" customWidth="1"/>
    <col min="9" max="9" width="8.375" customWidth="1"/>
    <col min="11" max="11" width="9.125" style="6" customWidth="1"/>
    <col min="12" max="12" width="9" style="6" customWidth="1"/>
    <col min="13" max="13" width="8.25" style="6" customWidth="1"/>
    <col min="14" max="14" width="9.125" style="6" customWidth="1"/>
    <col min="15" max="15" width="10.5" customWidth="1"/>
    <col min="16" max="17" width="10.25" customWidth="1"/>
    <col min="18" max="18" width="8.75" customWidth="1"/>
    <col min="19" max="19" width="9.5" customWidth="1"/>
    <col min="20" max="20" width="11.8583333333333" customWidth="1"/>
    <col min="21" max="21" width="8.75" customWidth="1"/>
    <col min="22" max="22" width="11.75" customWidth="1"/>
    <col min="23" max="23" width="10.625" customWidth="1"/>
    <col min="24" max="31" width="11.125" customWidth="1"/>
    <col min="32" max="32" width="12" customWidth="1"/>
    <col min="33" max="33" width="14.375" customWidth="1"/>
    <col min="34" max="35" width="10.5" customWidth="1"/>
    <col min="36" max="36" width="9.875" customWidth="1"/>
    <col min="37" max="37" width="10.5" customWidth="1"/>
    <col min="38" max="38" width="7.375" customWidth="1"/>
    <col min="39" max="42" width="10.5" customWidth="1"/>
    <col min="43" max="43" width="16" customWidth="1"/>
    <col min="44" max="44" width="10.125" customWidth="1"/>
    <col min="45" max="45" width="10.5" customWidth="1"/>
  </cols>
  <sheetData>
    <row r="2" ht="18" customHeight="1" spans="1:45">
      <c r="A2" s="29" t="s">
        <v>1</v>
      </c>
      <c r="B2" s="29" t="s">
        <v>2</v>
      </c>
      <c r="C2" s="29" t="s">
        <v>3</v>
      </c>
      <c r="D2" s="29" t="s">
        <v>4</v>
      </c>
      <c r="E2" s="29" t="s">
        <v>5</v>
      </c>
      <c r="F2" s="29" t="s">
        <v>6</v>
      </c>
      <c r="G2" s="29" t="s">
        <v>7</v>
      </c>
      <c r="H2" s="29" t="s">
        <v>8</v>
      </c>
      <c r="I2" s="29" t="s">
        <v>9</v>
      </c>
      <c r="J2" s="29" t="s">
        <v>10</v>
      </c>
      <c r="K2" s="29" t="s">
        <v>11</v>
      </c>
      <c r="L2" s="29" t="s">
        <v>12</v>
      </c>
      <c r="M2" s="29" t="s">
        <v>13</v>
      </c>
      <c r="N2" s="29" t="s">
        <v>14</v>
      </c>
      <c r="O2" s="29" t="s">
        <v>15</v>
      </c>
      <c r="P2" s="29" t="s">
        <v>16</v>
      </c>
      <c r="Q2" s="29" t="s">
        <v>17</v>
      </c>
      <c r="R2" s="29" t="s">
        <v>18</v>
      </c>
      <c r="S2" s="29" t="s">
        <v>19</v>
      </c>
      <c r="T2" s="29" t="s">
        <v>20</v>
      </c>
      <c r="U2" s="29" t="s">
        <v>21</v>
      </c>
      <c r="V2" s="29" t="s">
        <v>22</v>
      </c>
      <c r="W2" s="29" t="s">
        <v>23</v>
      </c>
      <c r="X2" s="29" t="s">
        <v>24</v>
      </c>
      <c r="Y2" s="29" t="s">
        <v>25</v>
      </c>
      <c r="Z2" s="29" t="s">
        <v>26</v>
      </c>
      <c r="AA2" s="29" t="s">
        <v>27</v>
      </c>
      <c r="AB2" s="29" t="s">
        <v>28</v>
      </c>
      <c r="AC2" s="29" t="s">
        <v>29</v>
      </c>
      <c r="AD2" s="29" t="s">
        <v>30</v>
      </c>
      <c r="AE2" s="29" t="s">
        <v>31</v>
      </c>
      <c r="AF2" s="29" t="s">
        <v>32</v>
      </c>
      <c r="AG2" s="29" t="s">
        <v>33</v>
      </c>
      <c r="AH2" s="29" t="s">
        <v>34</v>
      </c>
      <c r="AI2" s="29" t="s">
        <v>35</v>
      </c>
      <c r="AJ2" s="29" t="s">
        <v>36</v>
      </c>
      <c r="AK2" s="29" t="s">
        <v>37</v>
      </c>
      <c r="AL2" s="29" t="s">
        <v>38</v>
      </c>
      <c r="AM2" s="29" t="s">
        <v>39</v>
      </c>
      <c r="AN2" s="29" t="s">
        <v>40</v>
      </c>
      <c r="AO2" s="29" t="s">
        <v>41</v>
      </c>
      <c r="AP2" s="29" t="s">
        <v>42</v>
      </c>
      <c r="AQ2" s="29" t="s">
        <v>43</v>
      </c>
      <c r="AR2" s="29" t="s">
        <v>44</v>
      </c>
      <c r="AS2" s="29" t="s">
        <v>45</v>
      </c>
    </row>
    <row r="3" ht="22" customHeight="1" spans="1:45">
      <c r="A3" s="30" t="s">
        <v>65</v>
      </c>
      <c r="B3" s="73" t="s">
        <v>382</v>
      </c>
      <c r="C3" s="38" t="s">
        <v>383</v>
      </c>
      <c r="D3" s="73" t="s">
        <v>384</v>
      </c>
      <c r="E3" s="73" t="s">
        <v>385</v>
      </c>
      <c r="F3" s="73" t="s">
        <v>386</v>
      </c>
      <c r="G3" s="73" t="s">
        <v>387</v>
      </c>
      <c r="H3" s="73" t="s">
        <v>388</v>
      </c>
      <c r="I3" s="73" t="s">
        <v>389</v>
      </c>
      <c r="J3" s="74" t="s">
        <v>390</v>
      </c>
      <c r="K3" s="75" t="s">
        <v>391</v>
      </c>
      <c r="L3" s="75" t="s">
        <v>392</v>
      </c>
      <c r="M3" s="75" t="s">
        <v>393</v>
      </c>
      <c r="N3" s="64" t="s">
        <v>394</v>
      </c>
      <c r="O3" s="34" t="s">
        <v>395</v>
      </c>
      <c r="P3" s="34" t="s">
        <v>396</v>
      </c>
      <c r="Q3" s="34" t="s">
        <v>397</v>
      </c>
      <c r="R3" s="34" t="s">
        <v>398</v>
      </c>
      <c r="S3" s="34" t="s">
        <v>399</v>
      </c>
      <c r="T3" s="34" t="s">
        <v>400</v>
      </c>
      <c r="U3" s="34" t="s">
        <v>401</v>
      </c>
      <c r="V3" s="34" t="s">
        <v>402</v>
      </c>
      <c r="W3" s="34" t="s">
        <v>403</v>
      </c>
      <c r="X3" s="34" t="s">
        <v>404</v>
      </c>
      <c r="Y3" s="34" t="s">
        <v>405</v>
      </c>
      <c r="Z3" s="34" t="s">
        <v>406</v>
      </c>
      <c r="AA3" s="34" t="s">
        <v>407</v>
      </c>
      <c r="AB3" s="34" t="s">
        <v>408</v>
      </c>
      <c r="AC3" s="76" t="s">
        <v>409</v>
      </c>
      <c r="AD3" s="77"/>
      <c r="AE3" s="64"/>
      <c r="AF3" s="34" t="s">
        <v>410</v>
      </c>
      <c r="AG3" s="34" t="s">
        <v>411</v>
      </c>
      <c r="AH3" s="34" t="s">
        <v>412</v>
      </c>
      <c r="AI3" s="34" t="s">
        <v>413</v>
      </c>
      <c r="AJ3" s="34" t="s">
        <v>414</v>
      </c>
      <c r="AK3" s="34" t="s">
        <v>415</v>
      </c>
      <c r="AL3" s="34" t="s">
        <v>416</v>
      </c>
      <c r="AM3" s="34" t="s">
        <v>417</v>
      </c>
      <c r="AN3" s="34" t="s">
        <v>418</v>
      </c>
      <c r="AO3" s="34" t="s">
        <v>419</v>
      </c>
      <c r="AP3" s="34" t="s">
        <v>420</v>
      </c>
      <c r="AQ3" s="34" t="s">
        <v>421</v>
      </c>
      <c r="AR3" s="34" t="s">
        <v>422</v>
      </c>
      <c r="AS3" s="34" t="s">
        <v>423</v>
      </c>
    </row>
    <row r="4" ht="41" customHeight="1" spans="1:45">
      <c r="A4" s="30"/>
      <c r="B4" s="49"/>
      <c r="C4" s="38"/>
      <c r="D4" s="49"/>
      <c r="E4" s="49"/>
      <c r="F4" s="49"/>
      <c r="G4" s="49"/>
      <c r="H4" s="49"/>
      <c r="I4" s="49"/>
      <c r="J4" s="78" t="s">
        <v>424</v>
      </c>
      <c r="K4" s="79"/>
      <c r="L4" s="79"/>
      <c r="M4" s="79"/>
      <c r="N4" s="66"/>
      <c r="O4" s="49"/>
      <c r="P4" s="49"/>
      <c r="Q4" s="49"/>
      <c r="R4" s="49"/>
      <c r="S4" s="49"/>
      <c r="T4" s="49"/>
      <c r="U4" s="49"/>
      <c r="V4" s="49"/>
      <c r="W4" s="49"/>
      <c r="X4" s="49"/>
      <c r="Y4" s="49"/>
      <c r="Z4" s="49"/>
      <c r="AA4" s="49"/>
      <c r="AB4" s="49"/>
      <c r="AC4" s="38" t="s">
        <v>425</v>
      </c>
      <c r="AD4" s="38" t="s">
        <v>426</v>
      </c>
      <c r="AE4" s="38" t="s">
        <v>427</v>
      </c>
      <c r="AF4" s="49"/>
      <c r="AG4" s="49"/>
      <c r="AH4" s="49"/>
      <c r="AI4" s="49"/>
      <c r="AJ4" s="49"/>
      <c r="AK4" s="49"/>
      <c r="AL4" s="49"/>
      <c r="AM4" s="49"/>
      <c r="AN4" s="49"/>
      <c r="AO4" s="49"/>
      <c r="AP4" s="49"/>
      <c r="AQ4" s="49"/>
      <c r="AR4" s="49"/>
      <c r="AS4" s="49"/>
    </row>
    <row r="5" ht="22" customHeight="1" spans="1:45">
      <c r="A5" s="70" t="s">
        <v>131</v>
      </c>
      <c r="B5" s="70" t="s">
        <v>428</v>
      </c>
      <c r="C5" s="70" t="s">
        <v>288</v>
      </c>
      <c r="D5" s="70" t="s">
        <v>288</v>
      </c>
      <c r="E5" s="70" t="s">
        <v>288</v>
      </c>
      <c r="F5" s="70" t="s">
        <v>288</v>
      </c>
      <c r="G5" s="70" t="s">
        <v>288</v>
      </c>
      <c r="H5" s="70" t="s">
        <v>288</v>
      </c>
      <c r="I5" s="70" t="s">
        <v>288</v>
      </c>
      <c r="J5" s="3">
        <v>5</v>
      </c>
      <c r="K5" s="3">
        <v>12</v>
      </c>
      <c r="L5" s="3">
        <v>11</v>
      </c>
      <c r="M5" s="3">
        <v>91.67</v>
      </c>
      <c r="N5" s="70" t="s">
        <v>288</v>
      </c>
      <c r="O5" s="3">
        <v>13</v>
      </c>
      <c r="P5" s="3">
        <v>13</v>
      </c>
      <c r="Q5" s="3">
        <v>100</v>
      </c>
      <c r="R5" s="70" t="s">
        <v>288</v>
      </c>
      <c r="S5" s="3">
        <v>50</v>
      </c>
      <c r="T5" s="3" t="s">
        <v>288</v>
      </c>
      <c r="U5" s="3">
        <v>18</v>
      </c>
      <c r="V5" s="3">
        <v>5</v>
      </c>
      <c r="W5" s="3">
        <v>5</v>
      </c>
      <c r="X5" s="3">
        <v>100</v>
      </c>
      <c r="Y5" s="3">
        <v>5</v>
      </c>
      <c r="Z5" s="3">
        <v>28</v>
      </c>
      <c r="AA5" s="3">
        <v>100</v>
      </c>
      <c r="AB5" s="3">
        <v>80</v>
      </c>
      <c r="AC5" s="70">
        <v>15</v>
      </c>
      <c r="AD5" s="70">
        <v>14</v>
      </c>
      <c r="AE5" s="3">
        <v>93.33</v>
      </c>
      <c r="AF5" s="70" t="s">
        <v>289</v>
      </c>
      <c r="AG5" s="70" t="s">
        <v>289</v>
      </c>
      <c r="AH5" s="3">
        <v>100</v>
      </c>
      <c r="AI5" s="3">
        <v>90</v>
      </c>
      <c r="AJ5" s="3">
        <v>100</v>
      </c>
      <c r="AK5" s="3">
        <v>10</v>
      </c>
      <c r="AL5" s="3">
        <v>8</v>
      </c>
      <c r="AM5" s="3">
        <v>100</v>
      </c>
      <c r="AN5" s="3">
        <v>100</v>
      </c>
      <c r="AO5" s="3">
        <v>15</v>
      </c>
      <c r="AP5" s="3">
        <v>9</v>
      </c>
      <c r="AQ5" s="3">
        <v>26</v>
      </c>
      <c r="AR5" s="3">
        <v>39</v>
      </c>
      <c r="AS5" s="3">
        <v>88</v>
      </c>
    </row>
    <row r="6" spans="1:45">
      <c r="N6"/>
    </row>
    <row r="7" spans="1:45">
      <c r="A7" s="53" t="s">
        <v>136</v>
      </c>
      <c r="B7" s="53" t="s">
        <v>139</v>
      </c>
      <c r="C7" s="53" t="s">
        <v>137</v>
      </c>
      <c r="D7" s="53" t="s">
        <v>137</v>
      </c>
      <c r="E7" s="53" t="s">
        <v>137</v>
      </c>
      <c r="F7" s="53" t="s">
        <v>137</v>
      </c>
      <c r="G7" s="53" t="s">
        <v>137</v>
      </c>
      <c r="H7" s="53" t="s">
        <v>137</v>
      </c>
      <c r="I7" s="53" t="s">
        <v>137</v>
      </c>
      <c r="J7" s="53" t="s">
        <v>139</v>
      </c>
      <c r="K7" s="53" t="s">
        <v>139</v>
      </c>
      <c r="L7" s="53" t="s">
        <v>139</v>
      </c>
      <c r="M7" s="53" t="s">
        <v>139</v>
      </c>
      <c r="N7" s="53" t="s">
        <v>137</v>
      </c>
      <c r="O7" s="53" t="s">
        <v>139</v>
      </c>
      <c r="P7" s="53" t="s">
        <v>139</v>
      </c>
      <c r="Q7" s="53" t="s">
        <v>139</v>
      </c>
      <c r="R7" s="53" t="s">
        <v>137</v>
      </c>
      <c r="S7" s="53" t="s">
        <v>139</v>
      </c>
      <c r="T7" s="53" t="s">
        <v>137</v>
      </c>
      <c r="U7" s="53" t="s">
        <v>139</v>
      </c>
      <c r="V7" s="53" t="s">
        <v>139</v>
      </c>
      <c r="W7" s="53" t="s">
        <v>139</v>
      </c>
      <c r="X7" s="53" t="s">
        <v>139</v>
      </c>
      <c r="Y7" s="53" t="s">
        <v>139</v>
      </c>
      <c r="Z7" s="53" t="s">
        <v>139</v>
      </c>
      <c r="AA7" s="53" t="s">
        <v>139</v>
      </c>
      <c r="AB7" s="53" t="s">
        <v>139</v>
      </c>
      <c r="AC7" s="53" t="s">
        <v>139</v>
      </c>
      <c r="AD7" s="53" t="s">
        <v>139</v>
      </c>
      <c r="AE7" s="71" t="s">
        <v>295</v>
      </c>
      <c r="AF7" s="53" t="s">
        <v>137</v>
      </c>
      <c r="AG7" s="53" t="s">
        <v>137</v>
      </c>
      <c r="AH7" s="53" t="s">
        <v>139</v>
      </c>
      <c r="AI7" s="53" t="s">
        <v>139</v>
      </c>
      <c r="AJ7" s="53" t="s">
        <v>139</v>
      </c>
      <c r="AK7" s="53" t="s">
        <v>139</v>
      </c>
      <c r="AL7" s="53" t="s">
        <v>139</v>
      </c>
      <c r="AM7" s="53" t="s">
        <v>139</v>
      </c>
      <c r="AN7" s="53" t="s">
        <v>139</v>
      </c>
      <c r="AO7" s="53" t="s">
        <v>139</v>
      </c>
      <c r="AP7" s="53" t="s">
        <v>139</v>
      </c>
      <c r="AQ7" s="53" t="s">
        <v>139</v>
      </c>
      <c r="AR7" s="53" t="s">
        <v>139</v>
      </c>
      <c r="AS7" s="53" t="s">
        <v>139</v>
      </c>
    </row>
    <row r="8" spans="1:45">
      <c r="B8" s="54" t="s">
        <v>141</v>
      </c>
      <c r="C8" s="53" t="s">
        <v>140</v>
      </c>
      <c r="D8" s="53" t="s">
        <v>140</v>
      </c>
      <c r="E8" s="53" t="s">
        <v>140</v>
      </c>
      <c r="F8" s="53" t="s">
        <v>140</v>
      </c>
      <c r="G8" s="53" t="s">
        <v>140</v>
      </c>
      <c r="H8" s="53" t="s">
        <v>140</v>
      </c>
      <c r="I8" s="53" t="s">
        <v>140</v>
      </c>
      <c r="J8" s="54" t="s">
        <v>296</v>
      </c>
      <c r="K8" s="54" t="s">
        <v>145</v>
      </c>
      <c r="L8" s="54" t="s">
        <v>145</v>
      </c>
      <c r="M8" s="54" t="s">
        <v>298</v>
      </c>
      <c r="N8" s="53" t="s">
        <v>140</v>
      </c>
      <c r="O8" s="54" t="s">
        <v>145</v>
      </c>
      <c r="P8" s="54" t="s">
        <v>145</v>
      </c>
      <c r="Q8" s="54" t="s">
        <v>298</v>
      </c>
      <c r="R8" s="53" t="s">
        <v>140</v>
      </c>
      <c r="S8" s="54" t="s">
        <v>429</v>
      </c>
      <c r="T8" s="53" t="s">
        <v>140</v>
      </c>
      <c r="U8" s="54" t="s">
        <v>296</v>
      </c>
      <c r="V8" s="54" t="s">
        <v>296</v>
      </c>
      <c r="W8" s="54" t="s">
        <v>296</v>
      </c>
      <c r="X8" s="54" t="s">
        <v>298</v>
      </c>
      <c r="Y8" s="54" t="s">
        <v>296</v>
      </c>
      <c r="Z8" s="54" t="s">
        <v>296</v>
      </c>
      <c r="AA8" s="54" t="s">
        <v>298</v>
      </c>
      <c r="AB8" s="54" t="s">
        <v>430</v>
      </c>
      <c r="AC8" s="54" t="s">
        <v>145</v>
      </c>
      <c r="AD8" s="54" t="s">
        <v>145</v>
      </c>
      <c r="AE8" s="72" t="s">
        <v>375</v>
      </c>
      <c r="AF8" s="53" t="s">
        <v>140</v>
      </c>
      <c r="AG8" s="53" t="s">
        <v>140</v>
      </c>
      <c r="AH8" s="54" t="s">
        <v>298</v>
      </c>
      <c r="AI8" s="54" t="s">
        <v>298</v>
      </c>
      <c r="AJ8" s="54" t="s">
        <v>298</v>
      </c>
      <c r="AK8" s="54" t="s">
        <v>298</v>
      </c>
      <c r="AL8" s="54" t="s">
        <v>296</v>
      </c>
      <c r="AM8" s="54" t="s">
        <v>298</v>
      </c>
      <c r="AN8" s="54" t="s">
        <v>298</v>
      </c>
      <c r="AO8" s="54" t="s">
        <v>296</v>
      </c>
      <c r="AP8" s="54" t="s">
        <v>296</v>
      </c>
      <c r="AQ8" s="54" t="s">
        <v>296</v>
      </c>
      <c r="AR8" s="54" t="s">
        <v>296</v>
      </c>
      <c r="AS8" s="54" t="s">
        <v>298</v>
      </c>
    </row>
    <row r="9" spans="1:45">
      <c r="C9" s="53" t="s">
        <v>288</v>
      </c>
      <c r="D9" s="53" t="s">
        <v>288</v>
      </c>
      <c r="E9" s="53" t="s">
        <v>288</v>
      </c>
      <c r="F9" s="53" t="s">
        <v>288</v>
      </c>
      <c r="G9" s="53" t="s">
        <v>288</v>
      </c>
      <c r="H9" s="53" t="s">
        <v>288</v>
      </c>
      <c r="I9" s="53" t="s">
        <v>288</v>
      </c>
      <c r="N9" s="53" t="s">
        <v>288</v>
      </c>
      <c r="O9" s="6"/>
      <c r="P9" s="6"/>
      <c r="Q9" s="6"/>
      <c r="R9" s="53" t="s">
        <v>288</v>
      </c>
      <c r="T9" s="53" t="s">
        <v>288</v>
      </c>
      <c r="AC9" s="53"/>
      <c r="AD9" s="53"/>
      <c r="AF9" s="53" t="s">
        <v>289</v>
      </c>
      <c r="AG9" s="53" t="s">
        <v>289</v>
      </c>
    </row>
    <row r="10" spans="1:45">
      <c r="C10" s="53" t="s">
        <v>293</v>
      </c>
      <c r="D10" s="53" t="s">
        <v>293</v>
      </c>
      <c r="E10" s="53" t="s">
        <v>293</v>
      </c>
      <c r="F10" s="53" t="s">
        <v>293</v>
      </c>
      <c r="G10" s="53" t="s">
        <v>293</v>
      </c>
      <c r="H10" s="53" t="s">
        <v>293</v>
      </c>
      <c r="I10" s="53" t="s">
        <v>293</v>
      </c>
      <c r="N10" s="53" t="s">
        <v>293</v>
      </c>
      <c r="R10" s="53" t="s">
        <v>293</v>
      </c>
      <c r="T10" s="53" t="s">
        <v>293</v>
      </c>
      <c r="V10" s="53" t="s">
        <v>431</v>
      </c>
      <c r="Y10" s="53" t="s">
        <v>431</v>
      </c>
      <c r="AC10" s="53"/>
      <c r="AD10" s="53"/>
      <c r="AF10" s="53" t="s">
        <v>299</v>
      </c>
      <c r="AG10" s="53" t="s">
        <v>299</v>
      </c>
    </row>
  </sheetData>
  <mergeCells count="43">
    <mergeCell ref="AC3:AE3"/>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F3:AF4"/>
    <mergeCell ref="AG3:AG4"/>
    <mergeCell ref="AH3:AH4"/>
    <mergeCell ref="AI3:AI4"/>
    <mergeCell ref="AJ3:AJ4"/>
    <mergeCell ref="AK3:AK4"/>
    <mergeCell ref="AL3:AL4"/>
    <mergeCell ref="AM3:AM4"/>
    <mergeCell ref="AN3:AN4"/>
    <mergeCell ref="AO3:AO4"/>
    <mergeCell ref="AP3:AP4"/>
    <mergeCell ref="AQ3:AQ4"/>
    <mergeCell ref="AR3:AR4"/>
    <mergeCell ref="AS3:AS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B11"/>
  <sheetViews>
    <sheetView tabSelected="1" topLeftCell="DX1" workbookViewId="0">
      <selection activeCell="EC14" sqref="EC14"/>
    </sheetView>
  </sheetViews>
  <sheetFormatPr defaultColWidth="11.25" defaultRowHeight="13.5"/>
  <cols>
    <col min="1" max="9" width="11.25" customWidth="1"/>
    <col min="10" max="10" width="14.875" customWidth="1"/>
    <col min="11" max="14" width="11.25" customWidth="1"/>
    <col min="15" max="15" width="22.625" customWidth="1"/>
    <col min="16" max="16" width="11.25" customWidth="1"/>
    <col min="17" max="17" width="8.625" customWidth="1"/>
    <col min="18" max="18" width="8.375" customWidth="1"/>
    <col min="19" max="19" width="11.5" customWidth="1"/>
    <col min="20" max="21" width="9.125" customWidth="1"/>
    <col min="22" max="22" width="15.875" customWidth="1"/>
    <col min="23" max="23" width="11.125" customWidth="1"/>
    <col min="24" max="24" width="10.875" customWidth="1"/>
    <col min="25" max="25" width="9.25" customWidth="1"/>
    <col min="26" max="26" width="16.75" customWidth="1"/>
    <col min="27" max="27" width="12.375" customWidth="1"/>
    <col min="28" max="28" width="12.75" customWidth="1"/>
    <col min="29" max="29" width="18.5" customWidth="1"/>
    <col min="30" max="30" width="13.125" customWidth="1"/>
    <col min="31" max="31" width="9.25" customWidth="1"/>
    <col min="32" max="32" width="13.375" customWidth="1"/>
    <col min="33" max="33" width="11.875" customWidth="1"/>
    <col min="34" max="40" width="15.875" customWidth="1"/>
    <col min="41" max="58" width="11.25" customWidth="1"/>
    <col min="59" max="59" width="18.125" customWidth="1"/>
    <col min="60" max="60" width="13.75" customWidth="1"/>
    <col min="61" max="61" width="11.25" customWidth="1"/>
    <col min="62" max="62" width="20.625" customWidth="1"/>
    <col min="63" max="63" width="16.375" customWidth="1"/>
    <col min="64" max="64" width="11.25" customWidth="1"/>
    <col min="65" max="65" width="19.375" customWidth="1"/>
    <col min="66" max="66" width="14" customWidth="1"/>
    <col min="67" max="16384" width="11.25" customWidth="1"/>
  </cols>
  <sheetData>
    <row r="1" ht="50" customHeight="1" spans="1:132">
      <c r="A1" s="56" t="s">
        <v>432</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row>
    <row r="2" ht="24" customHeight="1" spans="1:132">
      <c r="A2" s="29" t="s">
        <v>1</v>
      </c>
      <c r="B2" s="29" t="s">
        <v>2</v>
      </c>
      <c r="C2" s="29" t="s">
        <v>3</v>
      </c>
      <c r="D2" s="29" t="s">
        <v>4</v>
      </c>
      <c r="E2" s="29" t="s">
        <v>5</v>
      </c>
      <c r="F2" s="29" t="s">
        <v>6</v>
      </c>
      <c r="G2" s="29" t="s">
        <v>7</v>
      </c>
      <c r="H2" s="29" t="s">
        <v>8</v>
      </c>
      <c r="I2" s="29" t="s">
        <v>9</v>
      </c>
      <c r="J2" s="29" t="s">
        <v>10</v>
      </c>
      <c r="K2" s="29" t="s">
        <v>11</v>
      </c>
      <c r="L2" s="29" t="s">
        <v>12</v>
      </c>
      <c r="M2" s="29" t="s">
        <v>13</v>
      </c>
      <c r="N2" s="58" t="s">
        <v>14</v>
      </c>
      <c r="O2" s="29" t="s">
        <v>15</v>
      </c>
      <c r="P2" s="29" t="s">
        <v>16</v>
      </c>
      <c r="Q2" s="29" t="s">
        <v>17</v>
      </c>
      <c r="R2" s="29" t="s">
        <v>18</v>
      </c>
      <c r="S2" s="29" t="s">
        <v>19</v>
      </c>
      <c r="T2" s="29" t="s">
        <v>20</v>
      </c>
      <c r="U2" s="29" t="s">
        <v>21</v>
      </c>
      <c r="V2" s="29" t="s">
        <v>22</v>
      </c>
      <c r="W2" s="29" t="s">
        <v>23</v>
      </c>
      <c r="X2" s="29" t="s">
        <v>24</v>
      </c>
      <c r="Y2" s="29" t="s">
        <v>25</v>
      </c>
      <c r="Z2" s="29" t="s">
        <v>26</v>
      </c>
      <c r="AA2" s="29" t="s">
        <v>27</v>
      </c>
      <c r="AB2" s="29" t="s">
        <v>28</v>
      </c>
      <c r="AC2" s="29" t="s">
        <v>29</v>
      </c>
      <c r="AD2" s="29" t="s">
        <v>30</v>
      </c>
      <c r="AE2" s="29" t="s">
        <v>31</v>
      </c>
      <c r="AF2" s="29" t="s">
        <v>32</v>
      </c>
      <c r="AG2" s="29" t="s">
        <v>33</v>
      </c>
      <c r="AH2" s="29" t="s">
        <v>34</v>
      </c>
      <c r="AI2" s="29" t="s">
        <v>35</v>
      </c>
      <c r="AJ2" s="29" t="s">
        <v>36</v>
      </c>
      <c r="AK2" s="29" t="s">
        <v>37</v>
      </c>
      <c r="AL2" s="29" t="s">
        <v>38</v>
      </c>
      <c r="AM2" s="29" t="s">
        <v>39</v>
      </c>
      <c r="AN2" s="29" t="s">
        <v>40</v>
      </c>
      <c r="AO2" s="29" t="s">
        <v>41</v>
      </c>
      <c r="AP2" s="29" t="s">
        <v>42</v>
      </c>
      <c r="AQ2" s="29" t="s">
        <v>43</v>
      </c>
      <c r="AR2" s="29" t="s">
        <v>44</v>
      </c>
      <c r="AS2" s="29" t="s">
        <v>45</v>
      </c>
      <c r="AT2" s="29" t="s">
        <v>46</v>
      </c>
      <c r="AU2" s="29" t="s">
        <v>47</v>
      </c>
      <c r="AV2" s="29" t="s">
        <v>48</v>
      </c>
      <c r="AW2" s="29" t="s">
        <v>49</v>
      </c>
      <c r="AX2" s="29" t="s">
        <v>50</v>
      </c>
      <c r="AY2" s="29" t="s">
        <v>51</v>
      </c>
      <c r="AZ2" s="29" t="s">
        <v>52</v>
      </c>
      <c r="BA2" s="29" t="s">
        <v>53</v>
      </c>
      <c r="BB2" s="29" t="s">
        <v>54</v>
      </c>
      <c r="BC2" s="29" t="s">
        <v>55</v>
      </c>
      <c r="BD2" s="29" t="s">
        <v>56</v>
      </c>
      <c r="BE2" s="29" t="s">
        <v>57</v>
      </c>
      <c r="BF2" s="29" t="s">
        <v>58</v>
      </c>
      <c r="BG2" s="29" t="s">
        <v>59</v>
      </c>
      <c r="BH2" s="29" t="s">
        <v>60</v>
      </c>
      <c r="BI2" s="29" t="s">
        <v>61</v>
      </c>
      <c r="BJ2" s="29" t="s">
        <v>62</v>
      </c>
      <c r="BK2" s="29" t="s">
        <v>63</v>
      </c>
      <c r="BL2" s="29" t="s">
        <v>64</v>
      </c>
      <c r="BM2" s="29" t="s">
        <v>152</v>
      </c>
      <c r="BN2" s="29" t="s">
        <v>153</v>
      </c>
      <c r="BO2" s="29" t="s">
        <v>154</v>
      </c>
      <c r="BP2" s="29" t="s">
        <v>155</v>
      </c>
      <c r="BQ2" s="29" t="s">
        <v>156</v>
      </c>
      <c r="BR2" s="29" t="s">
        <v>157</v>
      </c>
      <c r="BS2" s="29" t="s">
        <v>158</v>
      </c>
      <c r="BT2" s="29" t="s">
        <v>159</v>
      </c>
      <c r="BU2" s="29" t="s">
        <v>160</v>
      </c>
      <c r="BV2" s="29" t="s">
        <v>161</v>
      </c>
      <c r="BW2" s="29" t="s">
        <v>162</v>
      </c>
      <c r="BX2" s="29" t="s">
        <v>163</v>
      </c>
      <c r="BY2" s="29" t="s">
        <v>164</v>
      </c>
      <c r="BZ2" s="29" t="s">
        <v>165</v>
      </c>
      <c r="CA2" s="29" t="s">
        <v>166</v>
      </c>
      <c r="CB2" s="29" t="s">
        <v>167</v>
      </c>
      <c r="CC2" s="29" t="s">
        <v>168</v>
      </c>
      <c r="CD2" s="29" t="s">
        <v>169</v>
      </c>
      <c r="CE2" s="29" t="s">
        <v>170</v>
      </c>
      <c r="CF2" s="29" t="s">
        <v>171</v>
      </c>
      <c r="CG2" s="29" t="s">
        <v>172</v>
      </c>
      <c r="CH2" s="29" t="s">
        <v>173</v>
      </c>
      <c r="CI2" s="29" t="s">
        <v>174</v>
      </c>
      <c r="CJ2" s="29" t="s">
        <v>175</v>
      </c>
      <c r="CK2" s="29" t="s">
        <v>176</v>
      </c>
      <c r="CL2" s="29" t="s">
        <v>177</v>
      </c>
      <c r="CM2" s="29" t="s">
        <v>178</v>
      </c>
      <c r="CN2" s="29" t="s">
        <v>179</v>
      </c>
      <c r="CO2" s="29" t="s">
        <v>180</v>
      </c>
      <c r="CP2" s="29" t="s">
        <v>181</v>
      </c>
      <c r="CQ2" s="29" t="s">
        <v>182</v>
      </c>
      <c r="CR2" s="29" t="s">
        <v>183</v>
      </c>
      <c r="CS2" s="29" t="s">
        <v>184</v>
      </c>
      <c r="CT2" s="29" t="s">
        <v>185</v>
      </c>
      <c r="CU2" s="29" t="s">
        <v>186</v>
      </c>
      <c r="CV2" s="29" t="s">
        <v>187</v>
      </c>
      <c r="CW2" s="29" t="s">
        <v>188</v>
      </c>
      <c r="CX2" s="29" t="s">
        <v>189</v>
      </c>
      <c r="CY2" s="29" t="s">
        <v>190</v>
      </c>
      <c r="CZ2" s="29" t="s">
        <v>191</v>
      </c>
      <c r="DA2" s="29" t="s">
        <v>433</v>
      </c>
      <c r="DB2" s="29" t="s">
        <v>434</v>
      </c>
      <c r="DC2" s="29" t="s">
        <v>435</v>
      </c>
      <c r="DD2" s="29" t="s">
        <v>436</v>
      </c>
      <c r="DE2" s="29" t="s">
        <v>437</v>
      </c>
      <c r="DF2" s="29" t="s">
        <v>438</v>
      </c>
      <c r="DG2" s="29" t="s">
        <v>439</v>
      </c>
      <c r="DH2" s="29" t="s">
        <v>440</v>
      </c>
      <c r="DI2" s="29" t="s">
        <v>441</v>
      </c>
      <c r="DJ2" s="29" t="s">
        <v>442</v>
      </c>
      <c r="DK2" s="29" t="s">
        <v>443</v>
      </c>
      <c r="DL2" s="29" t="s">
        <v>444</v>
      </c>
      <c r="DM2" s="29" t="s">
        <v>445</v>
      </c>
      <c r="DN2" s="29" t="s">
        <v>446</v>
      </c>
      <c r="DO2" s="29" t="s">
        <v>447</v>
      </c>
      <c r="DP2" s="29" t="s">
        <v>448</v>
      </c>
      <c r="DQ2" s="29" t="s">
        <v>449</v>
      </c>
      <c r="DR2" s="29" t="s">
        <v>450</v>
      </c>
      <c r="DS2" s="29" t="s">
        <v>451</v>
      </c>
      <c r="DT2" s="29" t="s">
        <v>452</v>
      </c>
      <c r="DU2" s="29" t="s">
        <v>453</v>
      </c>
      <c r="DV2" s="29" t="s">
        <v>454</v>
      </c>
      <c r="DW2" s="29" t="s">
        <v>455</v>
      </c>
      <c r="DX2" s="29" t="s">
        <v>456</v>
      </c>
      <c r="DY2" s="29" t="s">
        <v>457</v>
      </c>
      <c r="DZ2" s="29" t="s">
        <v>458</v>
      </c>
      <c r="EA2" s="29" t="s">
        <v>459</v>
      </c>
      <c r="EB2" s="29" t="s">
        <v>460</v>
      </c>
    </row>
    <row r="3" ht="21" customHeight="1" spans="1:132">
      <c r="A3" s="30" t="s">
        <v>65</v>
      </c>
      <c r="B3" s="59" t="s">
        <v>382</v>
      </c>
      <c r="C3" s="60"/>
      <c r="D3" s="31" t="s">
        <v>461</v>
      </c>
      <c r="E3" s="61"/>
      <c r="F3" s="31" t="s">
        <v>462</v>
      </c>
      <c r="G3" s="32"/>
      <c r="H3" s="61"/>
      <c r="I3" s="62" t="s">
        <v>463</v>
      </c>
      <c r="J3" s="62"/>
      <c r="K3" s="32" t="s">
        <v>464</v>
      </c>
      <c r="L3" s="32"/>
      <c r="M3" s="32"/>
      <c r="N3" s="61"/>
      <c r="O3" s="62" t="s">
        <v>465</v>
      </c>
      <c r="P3" s="62"/>
      <c r="Q3" s="62"/>
      <c r="R3" s="62"/>
      <c r="S3" s="62"/>
      <c r="T3" s="62"/>
      <c r="U3" s="62"/>
      <c r="V3" s="62"/>
      <c r="W3" s="62" t="s">
        <v>466</v>
      </c>
      <c r="X3" s="62"/>
      <c r="Y3" s="62"/>
      <c r="Z3" s="32" t="s">
        <v>467</v>
      </c>
      <c r="AA3" s="62" t="s">
        <v>468</v>
      </c>
      <c r="AB3" s="62"/>
      <c r="AC3" s="62" t="s">
        <v>469</v>
      </c>
      <c r="AD3" s="31" t="s">
        <v>470</v>
      </c>
      <c r="AE3" s="32"/>
      <c r="AF3" s="32"/>
      <c r="AG3" s="32"/>
      <c r="AH3" s="32"/>
      <c r="AI3" s="61"/>
      <c r="AJ3" s="62" t="s">
        <v>471</v>
      </c>
      <c r="AK3" s="62" t="s">
        <v>472</v>
      </c>
      <c r="AL3" s="62" t="s">
        <v>473</v>
      </c>
      <c r="AM3" s="62" t="s">
        <v>474</v>
      </c>
      <c r="AN3" s="32" t="s">
        <v>475</v>
      </c>
      <c r="AO3" s="32" t="s">
        <v>476</v>
      </c>
      <c r="AP3" s="32"/>
      <c r="AQ3" s="32"/>
      <c r="AR3" s="32"/>
      <c r="AS3" s="32"/>
      <c r="AT3" s="32"/>
      <c r="AU3" s="32"/>
      <c r="AV3" s="32"/>
      <c r="AW3" s="63"/>
      <c r="AX3" s="31" t="s">
        <v>477</v>
      </c>
      <c r="AY3" s="32"/>
      <c r="AZ3" s="32"/>
      <c r="BA3" s="32"/>
      <c r="BB3" s="32"/>
      <c r="BC3" s="32"/>
      <c r="BD3" s="32"/>
      <c r="BE3" s="32"/>
      <c r="BF3" s="61"/>
      <c r="BG3" s="31" t="s">
        <v>478</v>
      </c>
      <c r="BH3" s="32"/>
      <c r="BI3" s="32"/>
      <c r="BJ3" s="32"/>
      <c r="BK3" s="32"/>
      <c r="BL3" s="32"/>
      <c r="BM3" s="32"/>
      <c r="BN3" s="32"/>
      <c r="BO3" s="61"/>
      <c r="BP3" s="31" t="s">
        <v>479</v>
      </c>
      <c r="BQ3" s="32"/>
      <c r="BR3" s="32"/>
      <c r="BS3" s="32"/>
      <c r="BT3" s="32"/>
      <c r="BU3" s="32"/>
      <c r="BV3" s="32"/>
      <c r="BW3" s="32"/>
      <c r="BX3" s="61"/>
      <c r="BY3" s="31" t="s">
        <v>480</v>
      </c>
      <c r="BZ3" s="32"/>
      <c r="CA3" s="32"/>
      <c r="CB3" s="32"/>
      <c r="CC3" s="32"/>
      <c r="CD3" s="32"/>
      <c r="CE3" s="32"/>
      <c r="CF3" s="32"/>
      <c r="CG3" s="61"/>
      <c r="CH3" s="32" t="s">
        <v>481</v>
      </c>
      <c r="CI3" s="32"/>
      <c r="CJ3" s="32"/>
      <c r="CK3" s="32"/>
      <c r="CL3" s="32"/>
      <c r="CM3" s="32"/>
      <c r="CN3" s="32"/>
      <c r="CO3" s="32"/>
      <c r="CP3" s="32"/>
      <c r="CQ3" s="31" t="s">
        <v>482</v>
      </c>
      <c r="CR3" s="32"/>
      <c r="CS3" s="32"/>
      <c r="CT3" s="32"/>
      <c r="CU3" s="32"/>
      <c r="CV3" s="32"/>
      <c r="CW3" s="32"/>
      <c r="CX3" s="32"/>
      <c r="CY3" s="61"/>
      <c r="CZ3" s="31" t="s">
        <v>483</v>
      </c>
      <c r="DA3" s="32"/>
      <c r="DB3" s="32"/>
      <c r="DC3" s="32"/>
      <c r="DD3" s="32"/>
      <c r="DE3" s="32"/>
      <c r="DF3" s="32"/>
      <c r="DG3" s="32"/>
      <c r="DH3" s="61"/>
      <c r="DI3" s="31" t="s">
        <v>484</v>
      </c>
      <c r="DJ3" s="32"/>
      <c r="DK3" s="32"/>
      <c r="DL3" s="32"/>
      <c r="DM3" s="32"/>
      <c r="DN3" s="32"/>
      <c r="DO3" s="32"/>
      <c r="DP3" s="32"/>
      <c r="DQ3" s="61"/>
      <c r="DR3" s="31" t="s">
        <v>485</v>
      </c>
      <c r="DS3" s="32"/>
      <c r="DT3" s="32"/>
      <c r="DU3" s="32"/>
      <c r="DV3" s="32"/>
      <c r="DW3" s="32"/>
      <c r="DX3" s="32"/>
      <c r="DY3" s="32"/>
      <c r="DZ3" s="61"/>
      <c r="EA3" s="31" t="s">
        <v>486</v>
      </c>
      <c r="EB3" s="32"/>
    </row>
    <row r="4" ht="23" customHeight="1" spans="1:132">
      <c r="A4" s="30"/>
      <c r="B4" s="38"/>
      <c r="C4" s="34" t="s">
        <v>487</v>
      </c>
      <c r="D4" s="38" t="s">
        <v>488</v>
      </c>
      <c r="E4" s="38" t="s">
        <v>489</v>
      </c>
      <c r="F4" s="38" t="s">
        <v>490</v>
      </c>
      <c r="G4" s="38" t="s">
        <v>491</v>
      </c>
      <c r="H4" s="38" t="s">
        <v>492</v>
      </c>
      <c r="I4" s="38" t="s">
        <v>493</v>
      </c>
      <c r="J4" s="38" t="s">
        <v>494</v>
      </c>
      <c r="K4" s="38" t="s">
        <v>495</v>
      </c>
      <c r="L4" s="38" t="s">
        <v>496</v>
      </c>
      <c r="M4" s="38" t="s">
        <v>497</v>
      </c>
      <c r="N4" s="38" t="s">
        <v>498</v>
      </c>
      <c r="O4" s="38" t="s">
        <v>499</v>
      </c>
      <c r="P4" s="38" t="s">
        <v>500</v>
      </c>
      <c r="Q4" s="64" t="s">
        <v>501</v>
      </c>
      <c r="R4" s="64" t="s">
        <v>502</v>
      </c>
      <c r="S4" s="64" t="s">
        <v>503</v>
      </c>
      <c r="T4" s="64" t="s">
        <v>504</v>
      </c>
      <c r="U4" s="64" t="s">
        <v>505</v>
      </c>
      <c r="V4" s="64" t="s">
        <v>506</v>
      </c>
      <c r="W4" s="64" t="s">
        <v>507</v>
      </c>
      <c r="X4" s="64" t="s">
        <v>508</v>
      </c>
      <c r="Y4" s="64" t="s">
        <v>509</v>
      </c>
      <c r="Z4" s="64" t="s">
        <v>510</v>
      </c>
      <c r="AA4" s="64" t="s">
        <v>511</v>
      </c>
      <c r="AB4" s="64" t="s">
        <v>512</v>
      </c>
      <c r="AC4" s="64" t="s">
        <v>513</v>
      </c>
      <c r="AD4" s="38" t="s">
        <v>514</v>
      </c>
      <c r="AE4" s="38"/>
      <c r="AF4" s="38"/>
      <c r="AG4" s="38"/>
      <c r="AH4" s="64" t="s">
        <v>515</v>
      </c>
      <c r="AI4" s="64" t="s">
        <v>516</v>
      </c>
      <c r="AJ4" s="64" t="s">
        <v>517</v>
      </c>
      <c r="AK4" s="64" t="s">
        <v>518</v>
      </c>
      <c r="AL4" s="64" t="s">
        <v>519</v>
      </c>
      <c r="AM4" s="64" t="s">
        <v>520</v>
      </c>
      <c r="AN4" s="64" t="s">
        <v>521</v>
      </c>
      <c r="AO4" s="42" t="s">
        <v>522</v>
      </c>
      <c r="AP4" s="30"/>
      <c r="AQ4" s="30"/>
      <c r="AR4" s="30" t="s">
        <v>523</v>
      </c>
      <c r="AS4" s="30"/>
      <c r="AT4" s="30"/>
      <c r="AU4" s="30" t="s">
        <v>428</v>
      </c>
      <c r="AV4" s="30"/>
      <c r="AW4" s="30"/>
      <c r="AX4" s="30" t="s">
        <v>522</v>
      </c>
      <c r="AY4" s="30"/>
      <c r="AZ4" s="30"/>
      <c r="BA4" s="30" t="s">
        <v>523</v>
      </c>
      <c r="BB4" s="30"/>
      <c r="BC4" s="30"/>
      <c r="BD4" s="30" t="s">
        <v>428</v>
      </c>
      <c r="BE4" s="30"/>
      <c r="BF4" s="30"/>
      <c r="BG4" s="30" t="s">
        <v>522</v>
      </c>
      <c r="BH4" s="30"/>
      <c r="BI4" s="30"/>
      <c r="BJ4" s="30" t="s">
        <v>523</v>
      </c>
      <c r="BK4" s="30"/>
      <c r="BL4" s="30"/>
      <c r="BM4" s="30" t="s">
        <v>428</v>
      </c>
      <c r="BN4" s="30"/>
      <c r="BO4" s="30"/>
      <c r="BP4" s="30" t="s">
        <v>522</v>
      </c>
      <c r="BQ4" s="30"/>
      <c r="BR4" s="30"/>
      <c r="BS4" s="30" t="s">
        <v>523</v>
      </c>
      <c r="BT4" s="30"/>
      <c r="BU4" s="30"/>
      <c r="BV4" s="30" t="s">
        <v>428</v>
      </c>
      <c r="BW4" s="30"/>
      <c r="BX4" s="30"/>
      <c r="BY4" s="30" t="s">
        <v>522</v>
      </c>
      <c r="BZ4" s="30"/>
      <c r="CA4" s="30"/>
      <c r="CB4" s="30" t="s">
        <v>523</v>
      </c>
      <c r="CC4" s="30"/>
      <c r="CD4" s="30"/>
      <c r="CE4" s="30" t="s">
        <v>428</v>
      </c>
      <c r="CF4" s="30"/>
      <c r="CG4" s="30"/>
      <c r="CH4" s="30" t="s">
        <v>522</v>
      </c>
      <c r="CI4" s="30"/>
      <c r="CJ4" s="30"/>
      <c r="CK4" s="30" t="s">
        <v>523</v>
      </c>
      <c r="CL4" s="30"/>
      <c r="CM4" s="30"/>
      <c r="CN4" s="30" t="s">
        <v>428</v>
      </c>
      <c r="CO4" s="30"/>
      <c r="CP4" s="30"/>
      <c r="CQ4" s="30" t="s">
        <v>522</v>
      </c>
      <c r="CR4" s="30"/>
      <c r="CS4" s="30"/>
      <c r="CT4" s="30" t="s">
        <v>523</v>
      </c>
      <c r="CU4" s="30"/>
      <c r="CV4" s="30"/>
      <c r="CW4" s="30" t="s">
        <v>428</v>
      </c>
      <c r="CX4" s="30"/>
      <c r="CY4" s="30"/>
      <c r="CZ4" s="30" t="s">
        <v>522</v>
      </c>
      <c r="DA4" s="30"/>
      <c r="DB4" s="30"/>
      <c r="DC4" s="30" t="s">
        <v>523</v>
      </c>
      <c r="DD4" s="30"/>
      <c r="DE4" s="30"/>
      <c r="DF4" s="30" t="s">
        <v>428</v>
      </c>
      <c r="DG4" s="30"/>
      <c r="DH4" s="30"/>
      <c r="DI4" s="30" t="s">
        <v>522</v>
      </c>
      <c r="DJ4" s="30"/>
      <c r="DK4" s="30"/>
      <c r="DL4" s="30" t="s">
        <v>523</v>
      </c>
      <c r="DM4" s="30"/>
      <c r="DN4" s="30"/>
      <c r="DO4" s="30" t="s">
        <v>428</v>
      </c>
      <c r="DP4" s="30"/>
      <c r="DQ4" s="30"/>
      <c r="DR4" s="30" t="s">
        <v>522</v>
      </c>
      <c r="DS4" s="30"/>
      <c r="DT4" s="30"/>
      <c r="DU4" s="30" t="s">
        <v>523</v>
      </c>
      <c r="DV4" s="30"/>
      <c r="DW4" s="30"/>
      <c r="DX4" s="30" t="s">
        <v>428</v>
      </c>
      <c r="DY4" s="30"/>
      <c r="DZ4" s="30"/>
      <c r="EA4" s="65" t="s">
        <v>524</v>
      </c>
      <c r="EB4" s="65" t="s">
        <v>525</v>
      </c>
    </row>
    <row r="5" ht="42" customHeight="1" spans="1:132">
      <c r="A5" s="30"/>
      <c r="B5" s="38"/>
      <c r="C5" s="49"/>
      <c r="D5" s="38"/>
      <c r="E5" s="38"/>
      <c r="F5" s="38"/>
      <c r="G5" s="38"/>
      <c r="H5" s="38"/>
      <c r="I5" s="38"/>
      <c r="J5" s="38"/>
      <c r="K5" s="38"/>
      <c r="L5" s="38"/>
      <c r="M5" s="38"/>
      <c r="N5" s="38"/>
      <c r="O5" s="38"/>
      <c r="P5" s="38" t="s">
        <v>500</v>
      </c>
      <c r="Q5" s="66"/>
      <c r="R5" s="66"/>
      <c r="S5" s="66"/>
      <c r="T5" s="66"/>
      <c r="U5" s="66"/>
      <c r="V5" s="66"/>
      <c r="W5" s="66"/>
      <c r="X5" s="66"/>
      <c r="Y5" s="66"/>
      <c r="Z5" s="66"/>
      <c r="AA5" s="66"/>
      <c r="AB5" s="66"/>
      <c r="AC5" s="66"/>
      <c r="AD5" s="38" t="s">
        <v>526</v>
      </c>
      <c r="AE5" s="38" t="s">
        <v>527</v>
      </c>
      <c r="AF5" s="38" t="s">
        <v>528</v>
      </c>
      <c r="AG5" s="38" t="s">
        <v>529</v>
      </c>
      <c r="AH5" s="66"/>
      <c r="AI5" s="66"/>
      <c r="AJ5" s="66"/>
      <c r="AK5" s="66"/>
      <c r="AL5" s="66"/>
      <c r="AM5" s="66"/>
      <c r="AN5" s="66"/>
      <c r="AO5" s="38" t="s">
        <v>530</v>
      </c>
      <c r="AP5" s="38" t="s">
        <v>531</v>
      </c>
      <c r="AQ5" s="38" t="s">
        <v>532</v>
      </c>
      <c r="AR5" s="67" t="s">
        <v>530</v>
      </c>
      <c r="AS5" s="38" t="s">
        <v>531</v>
      </c>
      <c r="AT5" s="38" t="s">
        <v>532</v>
      </c>
      <c r="AU5" s="67" t="s">
        <v>530</v>
      </c>
      <c r="AV5" s="38" t="s">
        <v>531</v>
      </c>
      <c r="AW5" s="38" t="s">
        <v>532</v>
      </c>
      <c r="AX5" s="67" t="s">
        <v>530</v>
      </c>
      <c r="AY5" s="38" t="s">
        <v>531</v>
      </c>
      <c r="AZ5" s="38" t="s">
        <v>532</v>
      </c>
      <c r="BA5" s="67" t="s">
        <v>530</v>
      </c>
      <c r="BB5" s="38" t="s">
        <v>531</v>
      </c>
      <c r="BC5" s="38" t="s">
        <v>532</v>
      </c>
      <c r="BD5" s="67" t="s">
        <v>530</v>
      </c>
      <c r="BE5" s="38" t="s">
        <v>531</v>
      </c>
      <c r="BF5" s="38" t="s">
        <v>532</v>
      </c>
      <c r="BG5" s="68" t="s">
        <v>533</v>
      </c>
      <c r="BH5" s="68" t="s">
        <v>534</v>
      </c>
      <c r="BI5" s="69" t="s">
        <v>535</v>
      </c>
      <c r="BJ5" s="68" t="s">
        <v>533</v>
      </c>
      <c r="BK5" s="68" t="s">
        <v>534</v>
      </c>
      <c r="BL5" s="69" t="s">
        <v>535</v>
      </c>
      <c r="BM5" s="68" t="s">
        <v>533</v>
      </c>
      <c r="BN5" s="68" t="s">
        <v>534</v>
      </c>
      <c r="BO5" s="69" t="s">
        <v>535</v>
      </c>
      <c r="BP5" s="69" t="s">
        <v>530</v>
      </c>
      <c r="BQ5" s="69" t="s">
        <v>536</v>
      </c>
      <c r="BR5" s="69" t="s">
        <v>535</v>
      </c>
      <c r="BS5" s="69" t="s">
        <v>530</v>
      </c>
      <c r="BT5" s="69" t="s">
        <v>536</v>
      </c>
      <c r="BU5" s="69" t="s">
        <v>535</v>
      </c>
      <c r="BV5" s="69" t="s">
        <v>530</v>
      </c>
      <c r="BW5" s="69" t="s">
        <v>536</v>
      </c>
      <c r="BX5" s="69" t="s">
        <v>535</v>
      </c>
      <c r="BY5" s="69" t="s">
        <v>537</v>
      </c>
      <c r="BZ5" s="69" t="s">
        <v>538</v>
      </c>
      <c r="CA5" s="69" t="s">
        <v>539</v>
      </c>
      <c r="CB5" s="69" t="s">
        <v>537</v>
      </c>
      <c r="CC5" s="69" t="s">
        <v>538</v>
      </c>
      <c r="CD5" s="69" t="s">
        <v>539</v>
      </c>
      <c r="CE5" s="69" t="s">
        <v>537</v>
      </c>
      <c r="CF5" s="69" t="s">
        <v>538</v>
      </c>
      <c r="CG5" s="69" t="s">
        <v>539</v>
      </c>
      <c r="CH5" s="69" t="s">
        <v>537</v>
      </c>
      <c r="CI5" s="69" t="s">
        <v>538</v>
      </c>
      <c r="CJ5" s="69" t="s">
        <v>539</v>
      </c>
      <c r="CK5" s="69" t="s">
        <v>537</v>
      </c>
      <c r="CL5" s="69" t="s">
        <v>538</v>
      </c>
      <c r="CM5" s="69" t="s">
        <v>539</v>
      </c>
      <c r="CN5" s="69" t="s">
        <v>537</v>
      </c>
      <c r="CO5" s="69" t="s">
        <v>538</v>
      </c>
      <c r="CP5" s="69" t="s">
        <v>539</v>
      </c>
      <c r="CQ5" s="69" t="s">
        <v>537</v>
      </c>
      <c r="CR5" s="69" t="s">
        <v>538</v>
      </c>
      <c r="CS5" s="69" t="s">
        <v>539</v>
      </c>
      <c r="CT5" s="69" t="s">
        <v>537</v>
      </c>
      <c r="CU5" s="69" t="s">
        <v>538</v>
      </c>
      <c r="CV5" s="69" t="s">
        <v>539</v>
      </c>
      <c r="CW5" s="69" t="s">
        <v>537</v>
      </c>
      <c r="CX5" s="69" t="s">
        <v>538</v>
      </c>
      <c r="CY5" s="69" t="s">
        <v>539</v>
      </c>
      <c r="CZ5" s="69" t="s">
        <v>425</v>
      </c>
      <c r="DA5" s="69" t="s">
        <v>540</v>
      </c>
      <c r="DB5" s="69" t="s">
        <v>541</v>
      </c>
      <c r="DC5" s="69" t="s">
        <v>425</v>
      </c>
      <c r="DD5" s="69" t="s">
        <v>540</v>
      </c>
      <c r="DE5" s="69" t="s">
        <v>541</v>
      </c>
      <c r="DF5" s="69" t="s">
        <v>425</v>
      </c>
      <c r="DG5" s="69" t="s">
        <v>540</v>
      </c>
      <c r="DH5" s="69" t="s">
        <v>541</v>
      </c>
      <c r="DI5" s="69" t="s">
        <v>542</v>
      </c>
      <c r="DJ5" s="69" t="s">
        <v>543</v>
      </c>
      <c r="DK5" s="69" t="s">
        <v>541</v>
      </c>
      <c r="DL5" s="69" t="s">
        <v>542</v>
      </c>
      <c r="DM5" s="69" t="s">
        <v>543</v>
      </c>
      <c r="DN5" s="69" t="s">
        <v>541</v>
      </c>
      <c r="DO5" s="69" t="s">
        <v>542</v>
      </c>
      <c r="DP5" s="69" t="s">
        <v>543</v>
      </c>
      <c r="DQ5" s="69" t="s">
        <v>541</v>
      </c>
      <c r="DR5" s="69" t="s">
        <v>542</v>
      </c>
      <c r="DS5" s="69" t="s">
        <v>543</v>
      </c>
      <c r="DT5" s="69" t="s">
        <v>541</v>
      </c>
      <c r="DU5" s="69" t="s">
        <v>542</v>
      </c>
      <c r="DV5" s="69" t="s">
        <v>543</v>
      </c>
      <c r="DW5" s="69" t="s">
        <v>541</v>
      </c>
      <c r="DX5" s="69" t="s">
        <v>542</v>
      </c>
      <c r="DY5" s="69" t="s">
        <v>543</v>
      </c>
      <c r="DZ5" s="69" t="s">
        <v>541</v>
      </c>
      <c r="EA5" s="65"/>
      <c r="EB5" s="65"/>
    </row>
    <row r="6" ht="21" customHeight="1" spans="1:132">
      <c r="A6" s="70" t="s">
        <v>131</v>
      </c>
      <c r="B6" s="70" t="s">
        <v>428</v>
      </c>
      <c r="C6" s="70" t="s">
        <v>288</v>
      </c>
      <c r="D6" s="70">
        <v>0</v>
      </c>
      <c r="E6" s="70">
        <v>8</v>
      </c>
      <c r="F6" s="70" t="s">
        <v>288</v>
      </c>
      <c r="G6" s="70" t="s">
        <v>288</v>
      </c>
      <c r="H6" s="70" t="s">
        <v>288</v>
      </c>
      <c r="I6" s="70" t="s">
        <v>288</v>
      </c>
      <c r="J6" s="70" t="s">
        <v>288</v>
      </c>
      <c r="K6" s="70" t="s">
        <v>288</v>
      </c>
      <c r="L6" s="70" t="s">
        <v>288</v>
      </c>
      <c r="M6" s="70" t="s">
        <v>288</v>
      </c>
      <c r="N6" s="70" t="s">
        <v>288</v>
      </c>
      <c r="O6" s="70">
        <v>2</v>
      </c>
      <c r="P6" s="70" t="s">
        <v>288</v>
      </c>
      <c r="Q6" s="70" t="s">
        <v>135</v>
      </c>
      <c r="R6" s="70" t="s">
        <v>135</v>
      </c>
      <c r="S6" s="70" t="s">
        <v>135</v>
      </c>
      <c r="T6" s="70" t="s">
        <v>135</v>
      </c>
      <c r="U6" s="70" t="s">
        <v>135</v>
      </c>
      <c r="V6" s="70" t="s">
        <v>135</v>
      </c>
      <c r="W6" s="70" t="s">
        <v>288</v>
      </c>
      <c r="X6" s="70" t="s">
        <v>135</v>
      </c>
      <c r="Y6" s="70" t="s">
        <v>135</v>
      </c>
      <c r="Z6" s="70" t="s">
        <v>288</v>
      </c>
      <c r="AA6" s="70" t="s">
        <v>135</v>
      </c>
      <c r="AB6" s="70" t="s">
        <v>288</v>
      </c>
      <c r="AC6" s="70" t="s">
        <v>135</v>
      </c>
      <c r="AD6" s="70">
        <v>5</v>
      </c>
      <c r="AE6" s="70">
        <v>3</v>
      </c>
      <c r="AF6" s="70">
        <v>2</v>
      </c>
      <c r="AG6" s="70">
        <v>0</v>
      </c>
      <c r="AH6" s="70" t="s">
        <v>135</v>
      </c>
      <c r="AI6" s="70" t="s">
        <v>135</v>
      </c>
      <c r="AJ6" s="70" t="s">
        <v>288</v>
      </c>
      <c r="AK6" s="70" t="s">
        <v>288</v>
      </c>
      <c r="AL6" s="70" t="s">
        <v>289</v>
      </c>
      <c r="AM6" s="70">
        <v>2</v>
      </c>
      <c r="AN6" s="70">
        <v>2</v>
      </c>
      <c r="AO6" s="70" t="s">
        <v>135</v>
      </c>
      <c r="AP6" s="70" t="s">
        <v>135</v>
      </c>
      <c r="AQ6" s="70" t="s">
        <v>135</v>
      </c>
      <c r="AR6" s="70" t="s">
        <v>135</v>
      </c>
      <c r="AS6" s="70" t="s">
        <v>135</v>
      </c>
      <c r="AT6" s="70" t="s">
        <v>135</v>
      </c>
      <c r="AU6" s="70" t="s">
        <v>135</v>
      </c>
      <c r="AV6" s="70" t="s">
        <v>135</v>
      </c>
      <c r="AW6" s="70" t="s">
        <v>135</v>
      </c>
      <c r="AX6" s="70" t="s">
        <v>135</v>
      </c>
      <c r="AY6" s="70" t="s">
        <v>135</v>
      </c>
      <c r="AZ6" s="70" t="s">
        <v>135</v>
      </c>
      <c r="BA6" s="70" t="s">
        <v>135</v>
      </c>
      <c r="BB6" s="70" t="s">
        <v>135</v>
      </c>
      <c r="BC6" s="70" t="s">
        <v>135</v>
      </c>
      <c r="BD6" s="70" t="s">
        <v>135</v>
      </c>
      <c r="BE6" s="70" t="s">
        <v>135</v>
      </c>
      <c r="BF6" s="70" t="s">
        <v>135</v>
      </c>
      <c r="BG6" s="70" t="s">
        <v>135</v>
      </c>
      <c r="BH6" s="70" t="s">
        <v>135</v>
      </c>
      <c r="BI6" s="70" t="s">
        <v>135</v>
      </c>
      <c r="BJ6" s="70" t="s">
        <v>135</v>
      </c>
      <c r="BK6" s="70" t="s">
        <v>135</v>
      </c>
      <c r="BL6" s="70" t="s">
        <v>135</v>
      </c>
      <c r="BM6" s="70" t="s">
        <v>135</v>
      </c>
      <c r="BN6" s="70" t="s">
        <v>135</v>
      </c>
      <c r="BO6" s="70" t="s">
        <v>135</v>
      </c>
      <c r="BP6" s="70" t="s">
        <v>135</v>
      </c>
      <c r="BQ6" s="70" t="s">
        <v>135</v>
      </c>
      <c r="BR6" s="70" t="s">
        <v>135</v>
      </c>
      <c r="BS6" s="70" t="s">
        <v>135</v>
      </c>
      <c r="BT6" s="70" t="s">
        <v>135</v>
      </c>
      <c r="BU6" s="70" t="s">
        <v>135</v>
      </c>
      <c r="BV6" s="70" t="s">
        <v>135</v>
      </c>
      <c r="BW6" s="70" t="s">
        <v>135</v>
      </c>
      <c r="BX6" s="70" t="s">
        <v>135</v>
      </c>
      <c r="BY6" s="70" t="s">
        <v>135</v>
      </c>
      <c r="BZ6" s="70" t="s">
        <v>135</v>
      </c>
      <c r="CA6" s="70" t="s">
        <v>135</v>
      </c>
      <c r="CB6" s="70" t="s">
        <v>135</v>
      </c>
      <c r="CC6" s="70" t="s">
        <v>135</v>
      </c>
      <c r="CD6" s="70" t="s">
        <v>135</v>
      </c>
      <c r="CE6" s="70" t="s">
        <v>135</v>
      </c>
      <c r="CF6" s="70" t="s">
        <v>135</v>
      </c>
      <c r="CG6" s="70" t="s">
        <v>135</v>
      </c>
      <c r="CH6" s="70" t="s">
        <v>135</v>
      </c>
      <c r="CI6" s="70" t="s">
        <v>135</v>
      </c>
      <c r="CJ6" s="70" t="s">
        <v>135</v>
      </c>
      <c r="CK6" s="70" t="s">
        <v>135</v>
      </c>
      <c r="CL6" s="70" t="s">
        <v>135</v>
      </c>
      <c r="CM6" s="70" t="s">
        <v>135</v>
      </c>
      <c r="CN6" s="70" t="s">
        <v>135</v>
      </c>
      <c r="CO6" s="70" t="s">
        <v>135</v>
      </c>
      <c r="CP6" s="70" t="s">
        <v>135</v>
      </c>
      <c r="CQ6" s="70" t="s">
        <v>135</v>
      </c>
      <c r="CR6" s="70" t="s">
        <v>135</v>
      </c>
      <c r="CS6" s="70" t="s">
        <v>135</v>
      </c>
      <c r="CT6" s="70" t="s">
        <v>135</v>
      </c>
      <c r="CU6" s="70" t="s">
        <v>135</v>
      </c>
      <c r="CV6" s="70" t="s">
        <v>135</v>
      </c>
      <c r="CW6" s="70" t="s">
        <v>135</v>
      </c>
      <c r="CX6" s="70" t="s">
        <v>135</v>
      </c>
      <c r="CY6" s="70" t="s">
        <v>135</v>
      </c>
      <c r="CZ6" s="70" t="s">
        <v>135</v>
      </c>
      <c r="DA6" s="70" t="s">
        <v>135</v>
      </c>
      <c r="DB6" s="70" t="s">
        <v>135</v>
      </c>
      <c r="DC6" s="70" t="s">
        <v>135</v>
      </c>
      <c r="DD6" s="70" t="s">
        <v>135</v>
      </c>
      <c r="DE6" s="70" t="s">
        <v>135</v>
      </c>
      <c r="DF6" s="70" t="s">
        <v>135</v>
      </c>
      <c r="DG6" s="70" t="s">
        <v>135</v>
      </c>
      <c r="DH6" s="70" t="s">
        <v>135</v>
      </c>
      <c r="DI6" s="70" t="s">
        <v>135</v>
      </c>
      <c r="DJ6" s="70" t="s">
        <v>135</v>
      </c>
      <c r="DK6" s="70" t="s">
        <v>135</v>
      </c>
      <c r="DL6" s="70" t="s">
        <v>135</v>
      </c>
      <c r="DM6" s="70" t="s">
        <v>135</v>
      </c>
      <c r="DN6" s="70" t="s">
        <v>135</v>
      </c>
      <c r="DO6" s="70" t="s">
        <v>135</v>
      </c>
      <c r="DP6" s="70" t="s">
        <v>135</v>
      </c>
      <c r="DQ6" s="70" t="s">
        <v>135</v>
      </c>
      <c r="DR6" s="70" t="s">
        <v>135</v>
      </c>
      <c r="DS6" s="70" t="s">
        <v>135</v>
      </c>
      <c r="DT6" s="70" t="s">
        <v>135</v>
      </c>
      <c r="DU6" s="70" t="s">
        <v>135</v>
      </c>
      <c r="DV6" s="70" t="s">
        <v>135</v>
      </c>
      <c r="DW6" s="70" t="s">
        <v>135</v>
      </c>
      <c r="DX6" s="70" t="s">
        <v>135</v>
      </c>
      <c r="DY6" s="70" t="s">
        <v>135</v>
      </c>
      <c r="DZ6" s="70" t="s">
        <v>135</v>
      </c>
    </row>
    <row r="7" spans="1:132">
      <c r="AJ7" s="70" t="s">
        <v>288</v>
      </c>
      <c r="AK7" s="70" t="s">
        <v>288</v>
      </c>
    </row>
    <row r="8" spans="1:132">
      <c r="B8" s="53" t="s">
        <v>139</v>
      </c>
      <c r="C8" s="53" t="s">
        <v>137</v>
      </c>
      <c r="D8" s="53" t="s">
        <v>139</v>
      </c>
      <c r="E8" s="53" t="s">
        <v>139</v>
      </c>
      <c r="F8" s="53" t="s">
        <v>137</v>
      </c>
      <c r="G8" s="53" t="s">
        <v>139</v>
      </c>
      <c r="H8" s="53" t="s">
        <v>137</v>
      </c>
      <c r="I8" s="53" t="s">
        <v>137</v>
      </c>
      <c r="J8" s="53" t="s">
        <v>137</v>
      </c>
      <c r="K8" s="53" t="s">
        <v>137</v>
      </c>
      <c r="L8" s="53" t="s">
        <v>137</v>
      </c>
      <c r="M8" s="53" t="s">
        <v>137</v>
      </c>
      <c r="N8" s="53" t="s">
        <v>137</v>
      </c>
      <c r="O8" s="53" t="s">
        <v>139</v>
      </c>
      <c r="P8" s="53" t="s">
        <v>137</v>
      </c>
      <c r="Q8" s="53" t="s">
        <v>139</v>
      </c>
      <c r="R8" s="53" t="s">
        <v>139</v>
      </c>
      <c r="S8" s="53" t="s">
        <v>139</v>
      </c>
      <c r="T8" s="53" t="s">
        <v>139</v>
      </c>
      <c r="U8" s="53" t="s">
        <v>139</v>
      </c>
      <c r="V8" s="53" t="s">
        <v>139</v>
      </c>
      <c r="W8" s="53" t="s">
        <v>137</v>
      </c>
      <c r="X8" s="53" t="s">
        <v>139</v>
      </c>
      <c r="Y8" s="53" t="s">
        <v>139</v>
      </c>
      <c r="Z8" s="53" t="s">
        <v>137</v>
      </c>
      <c r="AA8" s="53" t="s">
        <v>139</v>
      </c>
      <c r="AB8" s="53" t="s">
        <v>137</v>
      </c>
      <c r="AC8" s="53" t="s">
        <v>139</v>
      </c>
      <c r="AD8" s="53" t="s">
        <v>139</v>
      </c>
      <c r="AE8" s="53" t="s">
        <v>139</v>
      </c>
      <c r="AF8" s="53" t="s">
        <v>139</v>
      </c>
      <c r="AG8" s="53" t="s">
        <v>139</v>
      </c>
      <c r="AH8" s="53" t="s">
        <v>139</v>
      </c>
      <c r="AI8" s="53" t="s">
        <v>139</v>
      </c>
      <c r="AJ8" s="53" t="s">
        <v>137</v>
      </c>
      <c r="AK8" s="53" t="s">
        <v>137</v>
      </c>
      <c r="AL8" s="53" t="s">
        <v>137</v>
      </c>
      <c r="AM8" s="53" t="s">
        <v>139</v>
      </c>
      <c r="AN8" s="53" t="s">
        <v>139</v>
      </c>
      <c r="AO8" s="53" t="s">
        <v>139</v>
      </c>
      <c r="AP8" s="53" t="s">
        <v>139</v>
      </c>
      <c r="AQ8" s="71" t="s">
        <v>295</v>
      </c>
      <c r="AR8" s="53" t="s">
        <v>139</v>
      </c>
      <c r="AS8" s="53" t="s">
        <v>139</v>
      </c>
      <c r="AT8" s="71" t="s">
        <v>295</v>
      </c>
      <c r="AU8" s="53" t="s">
        <v>139</v>
      </c>
      <c r="AV8" s="53" t="s">
        <v>139</v>
      </c>
      <c r="AW8" s="71" t="s">
        <v>295</v>
      </c>
      <c r="AX8" s="53" t="s">
        <v>139</v>
      </c>
      <c r="AY8" s="53" t="s">
        <v>139</v>
      </c>
      <c r="AZ8" s="71" t="s">
        <v>295</v>
      </c>
      <c r="BA8" s="53" t="s">
        <v>139</v>
      </c>
      <c r="BB8" s="53" t="s">
        <v>139</v>
      </c>
      <c r="BC8" s="71" t="s">
        <v>295</v>
      </c>
      <c r="BD8" s="53" t="s">
        <v>139</v>
      </c>
      <c r="BE8" s="53" t="s">
        <v>139</v>
      </c>
      <c r="BF8" s="71" t="s">
        <v>295</v>
      </c>
      <c r="BG8" s="53" t="s">
        <v>139</v>
      </c>
      <c r="BH8" s="53" t="s">
        <v>139</v>
      </c>
      <c r="BI8" s="71" t="s">
        <v>295</v>
      </c>
      <c r="BJ8" s="53" t="s">
        <v>139</v>
      </c>
      <c r="BK8" s="53" t="s">
        <v>139</v>
      </c>
      <c r="BL8" s="71" t="s">
        <v>295</v>
      </c>
      <c r="BM8" s="53" t="s">
        <v>139</v>
      </c>
      <c r="BN8" s="53" t="s">
        <v>139</v>
      </c>
      <c r="BO8" s="71" t="s">
        <v>295</v>
      </c>
      <c r="BP8" s="53" t="s">
        <v>139</v>
      </c>
      <c r="BQ8" s="53" t="s">
        <v>139</v>
      </c>
      <c r="BR8" s="71" t="s">
        <v>295</v>
      </c>
      <c r="BS8" s="53" t="s">
        <v>139</v>
      </c>
      <c r="BT8" s="53" t="s">
        <v>139</v>
      </c>
      <c r="BU8" s="71" t="s">
        <v>295</v>
      </c>
      <c r="BV8" s="53" t="s">
        <v>139</v>
      </c>
      <c r="BW8" s="53" t="s">
        <v>139</v>
      </c>
      <c r="BX8" s="71" t="s">
        <v>295</v>
      </c>
      <c r="BY8" s="53" t="s">
        <v>139</v>
      </c>
      <c r="BZ8" s="53" t="s">
        <v>139</v>
      </c>
      <c r="CA8" s="71" t="s">
        <v>295</v>
      </c>
      <c r="CB8" s="53" t="s">
        <v>139</v>
      </c>
      <c r="CC8" s="53" t="s">
        <v>139</v>
      </c>
      <c r="CD8" s="71" t="s">
        <v>295</v>
      </c>
      <c r="CE8" s="53" t="s">
        <v>139</v>
      </c>
      <c r="CF8" s="53" t="s">
        <v>139</v>
      </c>
      <c r="CG8" s="71" t="s">
        <v>295</v>
      </c>
      <c r="CH8" s="53" t="s">
        <v>139</v>
      </c>
      <c r="CI8" s="53" t="s">
        <v>139</v>
      </c>
      <c r="CJ8" s="71" t="s">
        <v>295</v>
      </c>
      <c r="CK8" s="53" t="s">
        <v>139</v>
      </c>
      <c r="CL8" s="53" t="s">
        <v>139</v>
      </c>
      <c r="CM8" s="71" t="s">
        <v>295</v>
      </c>
      <c r="CN8" s="53" t="s">
        <v>139</v>
      </c>
      <c r="CO8" s="53" t="s">
        <v>139</v>
      </c>
      <c r="CP8" s="71" t="s">
        <v>295</v>
      </c>
      <c r="CQ8" s="53" t="s">
        <v>139</v>
      </c>
      <c r="CR8" s="53" t="s">
        <v>139</v>
      </c>
      <c r="CS8" s="71" t="s">
        <v>295</v>
      </c>
      <c r="CT8" s="53" t="s">
        <v>139</v>
      </c>
      <c r="CU8" s="53" t="s">
        <v>139</v>
      </c>
      <c r="CV8" s="71" t="s">
        <v>295</v>
      </c>
      <c r="CW8" s="53" t="s">
        <v>139</v>
      </c>
      <c r="CX8" s="53" t="s">
        <v>139</v>
      </c>
      <c r="CY8" s="71" t="s">
        <v>295</v>
      </c>
      <c r="CZ8" s="53" t="s">
        <v>139</v>
      </c>
      <c r="DA8" s="53" t="s">
        <v>139</v>
      </c>
      <c r="DB8" s="71" t="s">
        <v>295</v>
      </c>
      <c r="DC8" s="53" t="s">
        <v>139</v>
      </c>
      <c r="DD8" s="53" t="s">
        <v>139</v>
      </c>
      <c r="DE8" s="71" t="s">
        <v>295</v>
      </c>
      <c r="DF8" s="53" t="s">
        <v>139</v>
      </c>
      <c r="DG8" s="53" t="s">
        <v>139</v>
      </c>
      <c r="DH8" s="71" t="s">
        <v>295</v>
      </c>
      <c r="DI8" s="53" t="s">
        <v>139</v>
      </c>
      <c r="DJ8" s="53" t="s">
        <v>139</v>
      </c>
      <c r="DK8" s="71" t="s">
        <v>295</v>
      </c>
      <c r="DL8" s="53" t="s">
        <v>139</v>
      </c>
      <c r="DM8" s="53" t="s">
        <v>139</v>
      </c>
      <c r="DN8" s="71" t="s">
        <v>295</v>
      </c>
      <c r="DO8" s="53" t="s">
        <v>139</v>
      </c>
      <c r="DP8" s="53" t="s">
        <v>139</v>
      </c>
      <c r="DQ8" s="71" t="s">
        <v>295</v>
      </c>
      <c r="DR8" s="53" t="s">
        <v>139</v>
      </c>
      <c r="DS8" s="53" t="s">
        <v>139</v>
      </c>
      <c r="DT8" s="71" t="s">
        <v>295</v>
      </c>
      <c r="DU8" s="53" t="s">
        <v>139</v>
      </c>
      <c r="DV8" s="53" t="s">
        <v>139</v>
      </c>
      <c r="DW8" s="71" t="s">
        <v>295</v>
      </c>
      <c r="DX8" s="53" t="s">
        <v>139</v>
      </c>
      <c r="DY8" s="53" t="s">
        <v>139</v>
      </c>
      <c r="DZ8" s="71" t="s">
        <v>295</v>
      </c>
      <c r="EA8" s="53" t="s">
        <v>139</v>
      </c>
      <c r="EB8" s="53" t="s">
        <v>139</v>
      </c>
    </row>
    <row r="9" spans="1:132">
      <c r="C9" s="53" t="s">
        <v>140</v>
      </c>
      <c r="D9" s="54" t="s">
        <v>544</v>
      </c>
      <c r="E9" s="54" t="s">
        <v>296</v>
      </c>
      <c r="F9" s="53" t="s">
        <v>140</v>
      </c>
      <c r="G9" s="54" t="s">
        <v>296</v>
      </c>
      <c r="H9" s="53" t="s">
        <v>140</v>
      </c>
      <c r="I9" s="53" t="s">
        <v>140</v>
      </c>
      <c r="J9" s="53" t="s">
        <v>140</v>
      </c>
      <c r="K9" s="53" t="s">
        <v>140</v>
      </c>
      <c r="L9" s="53" t="s">
        <v>140</v>
      </c>
      <c r="M9" s="53" t="s">
        <v>140</v>
      </c>
      <c r="N9" s="53" t="s">
        <v>140</v>
      </c>
      <c r="O9" s="54" t="s">
        <v>545</v>
      </c>
      <c r="P9" s="53" t="s">
        <v>140</v>
      </c>
      <c r="Q9" s="54" t="s">
        <v>296</v>
      </c>
      <c r="R9" s="54" t="s">
        <v>296</v>
      </c>
      <c r="S9" s="54" t="s">
        <v>296</v>
      </c>
      <c r="T9" s="54" t="s">
        <v>296</v>
      </c>
      <c r="U9" s="54" t="s">
        <v>298</v>
      </c>
      <c r="V9" s="54" t="s">
        <v>298</v>
      </c>
      <c r="W9" s="53" t="s">
        <v>140</v>
      </c>
      <c r="X9" s="54" t="s">
        <v>546</v>
      </c>
      <c r="Y9" s="54" t="s">
        <v>296</v>
      </c>
      <c r="Z9" s="53" t="s">
        <v>140</v>
      </c>
      <c r="AA9" s="54" t="s">
        <v>296</v>
      </c>
      <c r="AB9" s="53" t="s">
        <v>140</v>
      </c>
      <c r="AC9" s="54" t="s">
        <v>296</v>
      </c>
      <c r="AD9" s="54" t="s">
        <v>547</v>
      </c>
      <c r="AE9" s="54" t="s">
        <v>547</v>
      </c>
      <c r="AF9" s="54" t="s">
        <v>547</v>
      </c>
      <c r="AG9" s="54" t="s">
        <v>547</v>
      </c>
      <c r="AH9" s="54" t="s">
        <v>298</v>
      </c>
      <c r="AI9" s="54" t="s">
        <v>298</v>
      </c>
      <c r="AJ9" s="53" t="s">
        <v>140</v>
      </c>
      <c r="AK9" s="53" t="s">
        <v>140</v>
      </c>
      <c r="AL9" s="53" t="s">
        <v>140</v>
      </c>
      <c r="AM9" s="54" t="s">
        <v>296</v>
      </c>
      <c r="AN9" s="54" t="s">
        <v>296</v>
      </c>
      <c r="AO9" s="54" t="s">
        <v>145</v>
      </c>
      <c r="AP9" s="54" t="s">
        <v>145</v>
      </c>
      <c r="AQ9" s="72" t="s">
        <v>375</v>
      </c>
      <c r="AR9" s="54" t="s">
        <v>145</v>
      </c>
      <c r="AS9" s="54" t="s">
        <v>145</v>
      </c>
      <c r="AT9" s="72" t="s">
        <v>375</v>
      </c>
      <c r="AU9" s="54" t="s">
        <v>145</v>
      </c>
      <c r="AV9" s="54" t="s">
        <v>145</v>
      </c>
      <c r="AW9" s="72" t="s">
        <v>375</v>
      </c>
      <c r="AX9" s="54" t="s">
        <v>145</v>
      </c>
      <c r="AY9" s="54" t="s">
        <v>145</v>
      </c>
      <c r="AZ9" s="72" t="s">
        <v>375</v>
      </c>
      <c r="BA9" s="54" t="s">
        <v>145</v>
      </c>
      <c r="BB9" s="54" t="s">
        <v>145</v>
      </c>
      <c r="BC9" s="72" t="s">
        <v>375</v>
      </c>
      <c r="BD9" s="54" t="s">
        <v>145</v>
      </c>
      <c r="BE9" s="54" t="s">
        <v>145</v>
      </c>
      <c r="BF9" s="72" t="s">
        <v>375</v>
      </c>
      <c r="BG9" s="54" t="s">
        <v>145</v>
      </c>
      <c r="BH9" s="54" t="s">
        <v>145</v>
      </c>
      <c r="BI9" s="72" t="s">
        <v>375</v>
      </c>
      <c r="BJ9" s="54" t="s">
        <v>145</v>
      </c>
      <c r="BK9" s="54" t="s">
        <v>145</v>
      </c>
      <c r="BL9" s="72" t="s">
        <v>375</v>
      </c>
      <c r="BM9" s="54" t="s">
        <v>145</v>
      </c>
      <c r="BN9" s="54" t="s">
        <v>145</v>
      </c>
      <c r="BO9" s="72" t="s">
        <v>375</v>
      </c>
      <c r="BP9" s="54" t="s">
        <v>145</v>
      </c>
      <c r="BQ9" s="54" t="s">
        <v>145</v>
      </c>
      <c r="BR9" s="72" t="s">
        <v>375</v>
      </c>
      <c r="BS9" s="54" t="s">
        <v>145</v>
      </c>
      <c r="BT9" s="54" t="s">
        <v>145</v>
      </c>
      <c r="BU9" s="72" t="s">
        <v>375</v>
      </c>
      <c r="BV9" s="54" t="s">
        <v>145</v>
      </c>
      <c r="BW9" s="54" t="s">
        <v>145</v>
      </c>
      <c r="BX9" s="72" t="s">
        <v>375</v>
      </c>
      <c r="BY9" s="54" t="s">
        <v>145</v>
      </c>
      <c r="BZ9" s="54" t="s">
        <v>145</v>
      </c>
      <c r="CA9" s="72" t="s">
        <v>375</v>
      </c>
      <c r="CB9" s="54" t="s">
        <v>145</v>
      </c>
      <c r="CC9" s="54" t="s">
        <v>145</v>
      </c>
      <c r="CD9" s="72" t="s">
        <v>375</v>
      </c>
      <c r="CE9" s="54" t="s">
        <v>145</v>
      </c>
      <c r="CF9" s="54" t="s">
        <v>145</v>
      </c>
      <c r="CG9" s="72" t="s">
        <v>375</v>
      </c>
      <c r="CH9" s="54" t="s">
        <v>145</v>
      </c>
      <c r="CI9" s="54" t="s">
        <v>145</v>
      </c>
      <c r="CJ9" s="72" t="s">
        <v>375</v>
      </c>
      <c r="CK9" s="54" t="s">
        <v>145</v>
      </c>
      <c r="CL9" s="54" t="s">
        <v>145</v>
      </c>
      <c r="CM9" s="72" t="s">
        <v>375</v>
      </c>
      <c r="CN9" s="54" t="s">
        <v>145</v>
      </c>
      <c r="CO9" s="54" t="s">
        <v>145</v>
      </c>
      <c r="CP9" s="72" t="s">
        <v>375</v>
      </c>
      <c r="CQ9" s="54" t="s">
        <v>145</v>
      </c>
      <c r="CR9" s="54" t="s">
        <v>145</v>
      </c>
      <c r="CS9" s="72" t="s">
        <v>375</v>
      </c>
      <c r="CT9" s="54" t="s">
        <v>145</v>
      </c>
      <c r="CU9" s="54" t="s">
        <v>145</v>
      </c>
      <c r="CV9" s="72" t="s">
        <v>375</v>
      </c>
      <c r="CW9" s="54" t="s">
        <v>145</v>
      </c>
      <c r="CX9" s="54" t="s">
        <v>145</v>
      </c>
      <c r="CY9" s="72" t="s">
        <v>375</v>
      </c>
      <c r="CZ9" s="54" t="s">
        <v>145</v>
      </c>
      <c r="DA9" s="54" t="s">
        <v>145</v>
      </c>
      <c r="DB9" s="72" t="s">
        <v>375</v>
      </c>
      <c r="DC9" s="54" t="s">
        <v>145</v>
      </c>
      <c r="DD9" s="54" t="s">
        <v>145</v>
      </c>
      <c r="DE9" s="72" t="s">
        <v>375</v>
      </c>
      <c r="DF9" s="54" t="s">
        <v>145</v>
      </c>
      <c r="DG9" s="54" t="s">
        <v>145</v>
      </c>
      <c r="DH9" s="72" t="s">
        <v>375</v>
      </c>
      <c r="DI9" s="54" t="s">
        <v>145</v>
      </c>
      <c r="DJ9" s="54" t="s">
        <v>145</v>
      </c>
      <c r="DK9" s="72" t="s">
        <v>375</v>
      </c>
      <c r="DL9" s="54" t="s">
        <v>145</v>
      </c>
      <c r="DM9" s="54" t="s">
        <v>145</v>
      </c>
      <c r="DN9" s="72" t="s">
        <v>375</v>
      </c>
      <c r="DO9" s="54" t="s">
        <v>145</v>
      </c>
      <c r="DP9" s="54" t="s">
        <v>145</v>
      </c>
      <c r="DQ9" s="72" t="s">
        <v>375</v>
      </c>
      <c r="DR9" s="54" t="s">
        <v>145</v>
      </c>
      <c r="DS9" s="54" t="s">
        <v>145</v>
      </c>
      <c r="DT9" s="72" t="s">
        <v>375</v>
      </c>
      <c r="DU9" s="54" t="s">
        <v>145</v>
      </c>
      <c r="DV9" s="54" t="s">
        <v>145</v>
      </c>
      <c r="DW9" s="72" t="s">
        <v>375</v>
      </c>
      <c r="DX9" s="54" t="s">
        <v>145</v>
      </c>
      <c r="DY9" s="54" t="s">
        <v>145</v>
      </c>
      <c r="DZ9" s="72" t="s">
        <v>375</v>
      </c>
      <c r="EA9" s="54" t="s">
        <v>548</v>
      </c>
      <c r="EB9" s="54" t="s">
        <v>549</v>
      </c>
    </row>
    <row r="10" spans="1:132">
      <c r="C10" s="53" t="s">
        <v>288</v>
      </c>
      <c r="F10" s="53" t="s">
        <v>288</v>
      </c>
      <c r="H10" s="53" t="s">
        <v>288</v>
      </c>
      <c r="I10" s="53" t="s">
        <v>288</v>
      </c>
      <c r="J10" s="53" t="s">
        <v>288</v>
      </c>
      <c r="K10" s="53" t="s">
        <v>288</v>
      </c>
      <c r="L10" s="53" t="s">
        <v>288</v>
      </c>
      <c r="M10" s="53" t="s">
        <v>288</v>
      </c>
      <c r="N10" s="53" t="s">
        <v>288</v>
      </c>
      <c r="P10" s="53" t="s">
        <v>288</v>
      </c>
      <c r="W10" s="53" t="s">
        <v>288</v>
      </c>
      <c r="Z10" s="53" t="s">
        <v>288</v>
      </c>
      <c r="AB10" s="53" t="s">
        <v>288</v>
      </c>
      <c r="AJ10" s="53" t="s">
        <v>288</v>
      </c>
      <c r="AK10" s="53" t="s">
        <v>288</v>
      </c>
      <c r="AL10" s="53" t="s">
        <v>289</v>
      </c>
    </row>
    <row r="11" spans="1:132">
      <c r="C11" s="53" t="s">
        <v>293</v>
      </c>
      <c r="F11" s="53" t="s">
        <v>293</v>
      </c>
      <c r="H11" s="53" t="s">
        <v>293</v>
      </c>
      <c r="I11" s="53" t="s">
        <v>293</v>
      </c>
      <c r="J11" s="53" t="s">
        <v>293</v>
      </c>
      <c r="K11" s="53" t="s">
        <v>293</v>
      </c>
      <c r="L11" s="53" t="s">
        <v>293</v>
      </c>
      <c r="M11" s="53" t="s">
        <v>293</v>
      </c>
      <c r="N11" s="53" t="s">
        <v>293</v>
      </c>
      <c r="P11" s="53" t="s">
        <v>293</v>
      </c>
      <c r="W11" s="53" t="s">
        <v>293</v>
      </c>
      <c r="Z11" s="53" t="s">
        <v>293</v>
      </c>
      <c r="AB11" s="53" t="s">
        <v>293</v>
      </c>
      <c r="AJ11" s="53" t="s">
        <v>293</v>
      </c>
      <c r="AK11" s="53" t="s">
        <v>293</v>
      </c>
      <c r="AL11" s="53" t="s">
        <v>299</v>
      </c>
    </row>
  </sheetData>
  <mergeCells count="89">
    <mergeCell ref="A1:AO1"/>
    <mergeCell ref="D3:E3"/>
    <mergeCell ref="F3:H3"/>
    <mergeCell ref="I3:J3"/>
    <mergeCell ref="K3:N3"/>
    <mergeCell ref="O3:V3"/>
    <mergeCell ref="W3:Y3"/>
    <mergeCell ref="AA3:AB3"/>
    <mergeCell ref="AD3:AI3"/>
    <mergeCell ref="AO3:AV3"/>
    <mergeCell ref="AX3:BF3"/>
    <mergeCell ref="BG3:BO3"/>
    <mergeCell ref="BP3:BX3"/>
    <mergeCell ref="BY3:CG3"/>
    <mergeCell ref="CH3:CP3"/>
    <mergeCell ref="CQ3:CY3"/>
    <mergeCell ref="CZ3:DH3"/>
    <mergeCell ref="DI3:DQ3"/>
    <mergeCell ref="DR3:DZ3"/>
    <mergeCell ref="EA3:EB3"/>
    <mergeCell ref="AD4:AG4"/>
    <mergeCell ref="AO4:AQ4"/>
    <mergeCell ref="AR4:AT4"/>
    <mergeCell ref="AU4:AW4"/>
    <mergeCell ref="AX4:AZ4"/>
    <mergeCell ref="BA4:BC4"/>
    <mergeCell ref="BD4:BF4"/>
    <mergeCell ref="BG4:BI4"/>
    <mergeCell ref="BJ4:BL4"/>
    <mergeCell ref="BM4:BO4"/>
    <mergeCell ref="BP4:BR4"/>
    <mergeCell ref="BS4:BU4"/>
    <mergeCell ref="BV4:BX4"/>
    <mergeCell ref="BY4:CA4"/>
    <mergeCell ref="CB4:CD4"/>
    <mergeCell ref="CE4:CG4"/>
    <mergeCell ref="CH4:CJ4"/>
    <mergeCell ref="CK4:CM4"/>
    <mergeCell ref="CN4:CP4"/>
    <mergeCell ref="CQ4:CS4"/>
    <mergeCell ref="CT4:CV4"/>
    <mergeCell ref="CW4:CY4"/>
    <mergeCell ref="CZ4:DB4"/>
    <mergeCell ref="DC4:DE4"/>
    <mergeCell ref="DF4:DH4"/>
    <mergeCell ref="DI4:DK4"/>
    <mergeCell ref="DL4:DN4"/>
    <mergeCell ref="DO4:DQ4"/>
    <mergeCell ref="DR4:DT4"/>
    <mergeCell ref="DU4:DW4"/>
    <mergeCell ref="DX4:DZ4"/>
    <mergeCell ref="A3:A5"/>
    <mergeCell ref="B3: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H4:AH5"/>
    <mergeCell ref="AI4:AI5"/>
    <mergeCell ref="AJ4:AJ5"/>
    <mergeCell ref="AK4:AK5"/>
    <mergeCell ref="AL4:AL5"/>
    <mergeCell ref="AM4:AM5"/>
    <mergeCell ref="AN4:AN5"/>
    <mergeCell ref="EA4:EA5"/>
    <mergeCell ref="EB4:EB5"/>
  </mergeCells>
  <dataValidations count="1">
    <dataValidation type="list" allowBlank="1" showInputMessage="1" showErrorMessage="1" sqref="F6:N6 P6 W6 Z6 AB6 F7 AJ7:AK7 F1:F5 F12:F1048576">
      <formula1>"有,无"</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15"/>
  <sheetViews>
    <sheetView topLeftCell="AK1" workbookViewId="0">
      <selection activeCell="M31" sqref="M31"/>
    </sheetView>
  </sheetViews>
  <sheetFormatPr defaultColWidth="9" defaultRowHeight="13.5"/>
  <cols>
    <col min="1" max="1" width="17.625" customWidth="1"/>
    <col min="2" max="2" width="15.0583333333333" customWidth="1"/>
    <col min="3" max="3" width="15.55" customWidth="1"/>
    <col min="4" max="4" width="15.375" customWidth="1"/>
    <col min="5" max="6" width="15.875" customWidth="1"/>
    <col min="7" max="7" width="13.625" customWidth="1"/>
    <col min="8" max="9" width="14.4166666666667" customWidth="1"/>
    <col min="10" max="10" width="15.75" customWidth="1"/>
    <col min="11" max="11" width="16.5" customWidth="1"/>
    <col min="12" max="12" width="13.625" customWidth="1"/>
    <col min="13" max="15" width="16.6666666666667" customWidth="1"/>
    <col min="16" max="16" width="15.7" customWidth="1"/>
    <col min="17" max="17" width="11.375" customWidth="1"/>
    <col min="18" max="18" width="10.75" customWidth="1"/>
    <col min="19" max="19" width="13.125" customWidth="1"/>
    <col min="20" max="20" width="16.025" customWidth="1"/>
    <col min="21" max="21" width="18.5" customWidth="1"/>
    <col min="22" max="22" width="16.025" customWidth="1"/>
    <col min="23" max="23" width="20.625" customWidth="1"/>
    <col min="24" max="24" width="14.125" customWidth="1"/>
    <col min="25" max="25" width="15.0666666666667" customWidth="1"/>
    <col min="26" max="26" width="18.625" customWidth="1"/>
    <col min="27" max="27" width="16.5083333333333" customWidth="1"/>
    <col min="28" max="28" width="21.25" customWidth="1"/>
    <col min="29" max="29" width="14.375" customWidth="1"/>
    <col min="30" max="30" width="14.575" customWidth="1"/>
    <col min="31" max="31" width="18.75" customWidth="1"/>
    <col min="32" max="32" width="14.575" customWidth="1"/>
    <col min="33" max="33" width="21.625" customWidth="1"/>
    <col min="34" max="34" width="11.75" customWidth="1"/>
    <col min="35" max="35" width="10.625" customWidth="1"/>
    <col min="36" max="36" width="12.375" customWidth="1"/>
    <col min="37" max="37" width="25.125" customWidth="1"/>
    <col min="38" max="38" width="12.8166666666667" customWidth="1"/>
    <col min="39" max="39" width="12.3333333333333" customWidth="1"/>
    <col min="41" max="41" width="11.5" customWidth="1"/>
    <col min="42" max="42" width="11.125" customWidth="1"/>
    <col min="44" max="44" width="10.625" customWidth="1"/>
  </cols>
  <sheetData>
    <row r="1" ht="14" customHeight="1"/>
    <row r="2" ht="21" customHeight="1" spans="1:57">
      <c r="A2" s="29" t="s">
        <v>1</v>
      </c>
      <c r="B2" s="29" t="s">
        <v>2</v>
      </c>
      <c r="C2" s="29" t="s">
        <v>3</v>
      </c>
      <c r="D2" s="29" t="s">
        <v>4</v>
      </c>
      <c r="E2" s="29" t="s">
        <v>5</v>
      </c>
      <c r="F2" s="29" t="s">
        <v>6</v>
      </c>
      <c r="G2" s="29" t="s">
        <v>7</v>
      </c>
      <c r="H2" s="29" t="s">
        <v>8</v>
      </c>
      <c r="I2" s="29" t="s">
        <v>9</v>
      </c>
      <c r="J2" s="29" t="s">
        <v>10</v>
      </c>
      <c r="K2" s="29" t="s">
        <v>11</v>
      </c>
      <c r="L2" s="29" t="s">
        <v>12</v>
      </c>
      <c r="M2" s="29" t="s">
        <v>13</v>
      </c>
      <c r="N2" s="29" t="s">
        <v>14</v>
      </c>
      <c r="O2" s="29" t="s">
        <v>15</v>
      </c>
      <c r="P2" s="29" t="s">
        <v>16</v>
      </c>
      <c r="Q2" s="29" t="s">
        <v>17</v>
      </c>
      <c r="R2" s="29" t="s">
        <v>18</v>
      </c>
      <c r="S2" s="29" t="s">
        <v>19</v>
      </c>
      <c r="T2" s="29" t="s">
        <v>20</v>
      </c>
      <c r="U2" s="29" t="s">
        <v>21</v>
      </c>
      <c r="V2" s="29" t="s">
        <v>22</v>
      </c>
      <c r="W2" s="29" t="s">
        <v>23</v>
      </c>
      <c r="X2" s="29" t="s">
        <v>24</v>
      </c>
      <c r="Y2" s="29" t="s">
        <v>25</v>
      </c>
      <c r="Z2" s="29" t="s">
        <v>26</v>
      </c>
      <c r="AA2" s="29" t="s">
        <v>27</v>
      </c>
      <c r="AB2" s="29" t="s">
        <v>28</v>
      </c>
      <c r="AC2" s="29" t="s">
        <v>29</v>
      </c>
      <c r="AD2" s="29" t="s">
        <v>30</v>
      </c>
      <c r="AE2" s="29" t="s">
        <v>31</v>
      </c>
      <c r="AF2" s="29" t="s">
        <v>32</v>
      </c>
      <c r="AG2" s="29" t="s">
        <v>33</v>
      </c>
      <c r="AH2" s="29" t="s">
        <v>34</v>
      </c>
      <c r="AI2" s="29" t="s">
        <v>35</v>
      </c>
      <c r="AJ2" s="29" t="s">
        <v>36</v>
      </c>
      <c r="AK2" s="29" t="s">
        <v>37</v>
      </c>
      <c r="AL2" s="29" t="s">
        <v>38</v>
      </c>
      <c r="AM2" s="29" t="s">
        <v>39</v>
      </c>
      <c r="AN2" s="29" t="s">
        <v>40</v>
      </c>
      <c r="AO2" s="29" t="s">
        <v>41</v>
      </c>
      <c r="AP2" s="29" t="s">
        <v>42</v>
      </c>
      <c r="AQ2" s="29" t="s">
        <v>43</v>
      </c>
      <c r="AR2" s="29" t="s">
        <v>44</v>
      </c>
      <c r="AS2" s="29" t="s">
        <v>45</v>
      </c>
      <c r="AT2" s="29" t="s">
        <v>46</v>
      </c>
      <c r="AU2" s="29" t="s">
        <v>47</v>
      </c>
      <c r="AV2" s="29" t="s">
        <v>48</v>
      </c>
      <c r="AW2" s="29" t="s">
        <v>49</v>
      </c>
      <c r="AX2" s="29" t="s">
        <v>50</v>
      </c>
      <c r="AY2" s="29" t="s">
        <v>51</v>
      </c>
      <c r="AZ2" s="29" t="s">
        <v>52</v>
      </c>
      <c r="BA2" s="29" t="s">
        <v>53</v>
      </c>
      <c r="BB2" s="29" t="s">
        <v>54</v>
      </c>
      <c r="BC2" s="29" t="s">
        <v>55</v>
      </c>
      <c r="BD2" s="29" t="s">
        <v>56</v>
      </c>
      <c r="BE2" s="29" t="s">
        <v>57</v>
      </c>
    </row>
    <row r="3" ht="23" customHeight="1" spans="1:57">
      <c r="A3" s="30" t="s">
        <v>65</v>
      </c>
      <c r="B3" s="31" t="s">
        <v>550</v>
      </c>
      <c r="C3" s="32"/>
      <c r="D3" s="32"/>
      <c r="E3" s="32"/>
      <c r="F3" s="32"/>
      <c r="G3" s="32"/>
      <c r="H3" s="32"/>
      <c r="I3" s="32"/>
      <c r="J3" s="32"/>
      <c r="K3" s="32"/>
      <c r="L3" s="32"/>
      <c r="M3" s="32"/>
      <c r="N3" s="32"/>
      <c r="O3" s="32"/>
      <c r="P3" s="32"/>
      <c r="Q3" s="33" t="s">
        <v>551</v>
      </c>
      <c r="R3" s="33" t="s">
        <v>552</v>
      </c>
      <c r="S3" s="31" t="s">
        <v>553</v>
      </c>
      <c r="T3" s="32"/>
      <c r="U3" s="32"/>
      <c r="V3" s="32"/>
      <c r="W3" s="32"/>
      <c r="X3" s="32"/>
      <c r="Y3" s="32"/>
      <c r="Z3" s="32"/>
      <c r="AA3" s="32"/>
      <c r="AB3" s="32"/>
      <c r="AC3" s="32"/>
      <c r="AD3" s="32"/>
      <c r="AE3" s="32"/>
      <c r="AF3" s="32"/>
      <c r="AG3" s="32"/>
      <c r="AH3" s="34" t="s">
        <v>554</v>
      </c>
      <c r="AI3" s="34" t="s">
        <v>555</v>
      </c>
      <c r="AJ3" s="34" t="s">
        <v>556</v>
      </c>
      <c r="AK3" s="34" t="s">
        <v>557</v>
      </c>
      <c r="AL3" s="35" t="s">
        <v>558</v>
      </c>
      <c r="AM3" s="36"/>
      <c r="AN3" s="36"/>
      <c r="AO3" s="36"/>
      <c r="AP3" s="36"/>
      <c r="AQ3" s="37"/>
      <c r="AR3" s="35" t="s">
        <v>559</v>
      </c>
      <c r="AS3" s="37"/>
      <c r="AT3" s="35" t="s">
        <v>560</v>
      </c>
      <c r="AU3" s="36"/>
      <c r="AV3" s="36"/>
      <c r="AW3" s="36"/>
      <c r="AX3" s="36"/>
      <c r="AY3" s="36"/>
      <c r="AZ3" s="36"/>
      <c r="BA3" s="36"/>
      <c r="BB3" s="36"/>
      <c r="BC3" s="38" t="s">
        <v>561</v>
      </c>
      <c r="BD3" s="38" t="s">
        <v>562</v>
      </c>
      <c r="BE3" s="38" t="s">
        <v>563</v>
      </c>
    </row>
    <row r="4" ht="24" customHeight="1" spans="1:57">
      <c r="A4" s="30"/>
      <c r="B4" s="30" t="s">
        <v>564</v>
      </c>
      <c r="C4" s="30" t="s">
        <v>77</v>
      </c>
      <c r="D4" s="30"/>
      <c r="E4" s="30"/>
      <c r="F4" s="30"/>
      <c r="G4" s="39" t="s">
        <v>565</v>
      </c>
      <c r="H4" s="40" t="s">
        <v>566</v>
      </c>
      <c r="I4" s="41"/>
      <c r="J4" s="41"/>
      <c r="K4" s="42"/>
      <c r="L4" s="39" t="s">
        <v>567</v>
      </c>
      <c r="M4" s="40" t="s">
        <v>77</v>
      </c>
      <c r="N4" s="41"/>
      <c r="O4" s="41"/>
      <c r="P4" s="41"/>
      <c r="Q4" s="33"/>
      <c r="R4" s="33"/>
      <c r="S4" s="30" t="s">
        <v>568</v>
      </c>
      <c r="T4" s="40" t="s">
        <v>77</v>
      </c>
      <c r="U4" s="41"/>
      <c r="V4" s="41"/>
      <c r="W4" s="41"/>
      <c r="X4" s="30" t="s">
        <v>569</v>
      </c>
      <c r="Y4" s="40" t="s">
        <v>77</v>
      </c>
      <c r="Z4" s="41"/>
      <c r="AA4" s="41"/>
      <c r="AB4" s="41"/>
      <c r="AC4" s="30" t="s">
        <v>570</v>
      </c>
      <c r="AD4" s="30" t="s">
        <v>77</v>
      </c>
      <c r="AE4" s="30"/>
      <c r="AF4" s="30"/>
      <c r="AG4" s="30"/>
      <c r="AH4" s="43"/>
      <c r="AI4" s="43"/>
      <c r="AJ4" s="43"/>
      <c r="AK4" s="34" t="s">
        <v>571</v>
      </c>
      <c r="AL4" s="34" t="s">
        <v>572</v>
      </c>
      <c r="AM4" s="34" t="s">
        <v>573</v>
      </c>
      <c r="AN4" s="34" t="s">
        <v>574</v>
      </c>
      <c r="AO4" s="34" t="s">
        <v>575</v>
      </c>
      <c r="AP4" s="34" t="s">
        <v>576</v>
      </c>
      <c r="AQ4" s="34" t="s">
        <v>577</v>
      </c>
      <c r="AR4" s="34" t="s">
        <v>578</v>
      </c>
      <c r="AS4" s="34" t="s">
        <v>579</v>
      </c>
      <c r="AT4" s="34" t="s">
        <v>580</v>
      </c>
      <c r="AU4" s="34" t="s">
        <v>581</v>
      </c>
      <c r="AV4" s="34" t="s">
        <v>582</v>
      </c>
      <c r="AW4" s="34" t="s">
        <v>583</v>
      </c>
      <c r="AX4" s="34" t="s">
        <v>584</v>
      </c>
      <c r="AY4" s="34" t="s">
        <v>585</v>
      </c>
      <c r="AZ4" s="34" t="s">
        <v>586</v>
      </c>
      <c r="BA4" s="34" t="s">
        <v>587</v>
      </c>
      <c r="BB4" s="34" t="s">
        <v>588</v>
      </c>
      <c r="BC4" s="38"/>
      <c r="BD4" s="38"/>
      <c r="BE4" s="38"/>
    </row>
    <row r="5" ht="37" customHeight="1" spans="1:57">
      <c r="A5" s="30"/>
      <c r="B5" s="30"/>
      <c r="C5" s="44" t="s">
        <v>589</v>
      </c>
      <c r="D5" s="44" t="s">
        <v>590</v>
      </c>
      <c r="E5" s="44" t="s">
        <v>591</v>
      </c>
      <c r="F5" s="44" t="s">
        <v>592</v>
      </c>
      <c r="G5" s="45"/>
      <c r="H5" s="44" t="s">
        <v>589</v>
      </c>
      <c r="I5" s="44" t="s">
        <v>590</v>
      </c>
      <c r="J5" s="44" t="s">
        <v>591</v>
      </c>
      <c r="K5" s="44" t="s">
        <v>592</v>
      </c>
      <c r="L5" s="45"/>
      <c r="M5" s="44" t="s">
        <v>589</v>
      </c>
      <c r="N5" s="44" t="s">
        <v>590</v>
      </c>
      <c r="O5" s="44" t="s">
        <v>591</v>
      </c>
      <c r="P5" s="46" t="s">
        <v>592</v>
      </c>
      <c r="Q5" s="33"/>
      <c r="R5" s="33"/>
      <c r="S5" s="30"/>
      <c r="T5" s="47" t="s">
        <v>593</v>
      </c>
      <c r="U5" s="48" t="s">
        <v>594</v>
      </c>
      <c r="V5" s="48" t="s">
        <v>595</v>
      </c>
      <c r="W5" s="48" t="s">
        <v>596</v>
      </c>
      <c r="X5" s="30"/>
      <c r="Y5" s="47" t="s">
        <v>593</v>
      </c>
      <c r="Z5" s="48" t="s">
        <v>594</v>
      </c>
      <c r="AA5" s="48" t="s">
        <v>595</v>
      </c>
      <c r="AB5" s="48" t="s">
        <v>596</v>
      </c>
      <c r="AC5" s="30"/>
      <c r="AD5" s="47" t="s">
        <v>593</v>
      </c>
      <c r="AE5" s="48" t="s">
        <v>594</v>
      </c>
      <c r="AF5" s="48" t="s">
        <v>595</v>
      </c>
      <c r="AG5" s="48" t="s">
        <v>596</v>
      </c>
      <c r="AH5" s="44"/>
      <c r="AI5" s="44"/>
      <c r="AJ5" s="44"/>
      <c r="AK5" s="44"/>
      <c r="AL5" s="49"/>
      <c r="AM5" s="44"/>
      <c r="AN5" s="44"/>
      <c r="AO5" s="44"/>
      <c r="AP5" s="44"/>
      <c r="AQ5" s="44"/>
      <c r="AR5" s="44"/>
      <c r="AS5" s="44"/>
      <c r="AT5" s="44"/>
      <c r="AU5" s="44"/>
      <c r="AV5" s="44"/>
      <c r="AW5" s="44"/>
      <c r="AX5" s="44"/>
      <c r="AY5" s="44"/>
      <c r="AZ5" s="44"/>
      <c r="BA5" s="44"/>
      <c r="BB5" s="44"/>
      <c r="BC5" s="38"/>
      <c r="BD5" s="38"/>
      <c r="BE5" s="38"/>
    </row>
    <row r="6" ht="25" customHeight="1" spans="1:57">
      <c r="A6" s="50" t="s">
        <v>131</v>
      </c>
      <c r="B6" s="51">
        <v>12</v>
      </c>
      <c r="C6" s="51">
        <v>8</v>
      </c>
      <c r="D6" s="51" t="s">
        <v>290</v>
      </c>
      <c r="E6" s="51">
        <v>4</v>
      </c>
      <c r="F6" s="51" t="s">
        <v>290</v>
      </c>
      <c r="G6" s="51">
        <v>18</v>
      </c>
      <c r="H6" s="51">
        <v>9</v>
      </c>
      <c r="I6" s="51" t="s">
        <v>290</v>
      </c>
      <c r="J6" s="51" t="s">
        <v>290</v>
      </c>
      <c r="K6" s="51">
        <v>0</v>
      </c>
      <c r="L6" s="51">
        <v>22</v>
      </c>
      <c r="M6" s="51">
        <v>16</v>
      </c>
      <c r="N6" s="51" t="s">
        <v>290</v>
      </c>
      <c r="O6" s="51" t="s">
        <v>290</v>
      </c>
      <c r="P6" s="51">
        <v>6</v>
      </c>
      <c r="Q6" s="51" t="s">
        <v>135</v>
      </c>
      <c r="R6" s="51" t="s">
        <v>135</v>
      </c>
      <c r="S6" s="51">
        <v>12</v>
      </c>
      <c r="T6" s="51">
        <v>8</v>
      </c>
      <c r="U6" s="51" t="s">
        <v>290</v>
      </c>
      <c r="V6" s="51" t="s">
        <v>290</v>
      </c>
      <c r="W6" s="51">
        <v>4</v>
      </c>
      <c r="X6" s="51">
        <v>18</v>
      </c>
      <c r="Y6" s="51">
        <v>13</v>
      </c>
      <c r="Z6" s="51" t="s">
        <v>290</v>
      </c>
      <c r="AA6" s="51">
        <v>5</v>
      </c>
      <c r="AB6" s="51" t="s">
        <v>290</v>
      </c>
      <c r="AC6" s="51">
        <v>22</v>
      </c>
      <c r="AD6" s="51">
        <v>16</v>
      </c>
      <c r="AE6" s="51" t="s">
        <v>290</v>
      </c>
      <c r="AF6" s="51" t="s">
        <v>290</v>
      </c>
      <c r="AG6" s="51">
        <v>6</v>
      </c>
      <c r="AH6" s="51">
        <v>30</v>
      </c>
      <c r="AI6" s="51">
        <v>19</v>
      </c>
      <c r="AJ6" s="51">
        <v>15</v>
      </c>
      <c r="AK6" s="51">
        <v>3</v>
      </c>
      <c r="AL6" s="51">
        <v>2</v>
      </c>
      <c r="AM6" s="51">
        <v>5</v>
      </c>
      <c r="AN6" s="52">
        <v>2</v>
      </c>
      <c r="AO6" s="52">
        <v>100</v>
      </c>
      <c r="AP6" s="52">
        <v>10</v>
      </c>
      <c r="AQ6" s="52">
        <v>80</v>
      </c>
      <c r="AR6" s="52">
        <v>8</v>
      </c>
      <c r="AS6" s="52">
        <v>3</v>
      </c>
      <c r="AT6" s="52">
        <v>1</v>
      </c>
      <c r="AU6" s="52" t="s">
        <v>135</v>
      </c>
      <c r="AV6" s="52" t="s">
        <v>135</v>
      </c>
      <c r="AW6" s="52" t="s">
        <v>135</v>
      </c>
      <c r="AX6" s="52" t="s">
        <v>135</v>
      </c>
      <c r="AY6" s="52" t="s">
        <v>135</v>
      </c>
      <c r="AZ6" s="52" t="s">
        <v>135</v>
      </c>
      <c r="BA6" s="52">
        <v>9</v>
      </c>
      <c r="BB6" s="52">
        <v>13</v>
      </c>
      <c r="BC6" t="s">
        <v>135</v>
      </c>
      <c r="BD6" t="s">
        <v>135</v>
      </c>
      <c r="BE6" t="s">
        <v>135</v>
      </c>
    </row>
    <row r="9" spans="1:57">
      <c r="B9" s="53" t="s">
        <v>139</v>
      </c>
      <c r="C9" s="53" t="s">
        <v>139</v>
      </c>
      <c r="D9" s="53" t="s">
        <v>139</v>
      </c>
      <c r="E9" s="53" t="s">
        <v>139</v>
      </c>
      <c r="F9" s="53" t="s">
        <v>139</v>
      </c>
      <c r="G9" s="53" t="s">
        <v>139</v>
      </c>
      <c r="H9" s="53" t="s">
        <v>139</v>
      </c>
      <c r="I9" s="53" t="s">
        <v>139</v>
      </c>
      <c r="J9" s="53" t="s">
        <v>139</v>
      </c>
      <c r="K9" s="53" t="s">
        <v>139</v>
      </c>
      <c r="L9" s="53" t="s">
        <v>139</v>
      </c>
      <c r="M9" s="53" t="s">
        <v>139</v>
      </c>
      <c r="N9" s="53" t="s">
        <v>139</v>
      </c>
      <c r="O9" s="53" t="s">
        <v>139</v>
      </c>
      <c r="P9" s="53" t="s">
        <v>139</v>
      </c>
      <c r="Q9" s="53" t="s">
        <v>139</v>
      </c>
      <c r="R9" s="53" t="s">
        <v>139</v>
      </c>
      <c r="S9" s="53" t="s">
        <v>139</v>
      </c>
      <c r="T9" s="53" t="s">
        <v>139</v>
      </c>
      <c r="U9" s="53" t="s">
        <v>139</v>
      </c>
      <c r="V9" s="53" t="s">
        <v>139</v>
      </c>
      <c r="W9" s="53" t="s">
        <v>139</v>
      </c>
      <c r="X9" s="53" t="s">
        <v>139</v>
      </c>
      <c r="Y9" s="53" t="s">
        <v>139</v>
      </c>
      <c r="Z9" s="53" t="s">
        <v>139</v>
      </c>
      <c r="AA9" s="53" t="s">
        <v>139</v>
      </c>
      <c r="AB9" s="53" t="s">
        <v>139</v>
      </c>
      <c r="AC9" s="53" t="s">
        <v>139</v>
      </c>
      <c r="AD9" s="53" t="s">
        <v>139</v>
      </c>
      <c r="AE9" s="53" t="s">
        <v>139</v>
      </c>
      <c r="AF9" s="53" t="s">
        <v>139</v>
      </c>
      <c r="AG9" s="53" t="s">
        <v>139</v>
      </c>
      <c r="AH9" s="53" t="s">
        <v>139</v>
      </c>
      <c r="AI9" s="53" t="s">
        <v>139</v>
      </c>
      <c r="AJ9" s="53" t="s">
        <v>139</v>
      </c>
      <c r="AK9" s="53" t="s">
        <v>139</v>
      </c>
      <c r="AL9" s="53" t="s">
        <v>139</v>
      </c>
      <c r="AM9" s="53" t="s">
        <v>139</v>
      </c>
      <c r="AN9" s="53" t="s">
        <v>139</v>
      </c>
      <c r="AO9" s="53" t="s">
        <v>139</v>
      </c>
      <c r="AP9" s="53" t="s">
        <v>139</v>
      </c>
      <c r="AQ9" s="53" t="s">
        <v>139</v>
      </c>
      <c r="AR9" s="53" t="s">
        <v>139</v>
      </c>
      <c r="AS9" s="53" t="s">
        <v>139</v>
      </c>
      <c r="AT9" s="53" t="s">
        <v>139</v>
      </c>
      <c r="AU9" s="53" t="s">
        <v>139</v>
      </c>
      <c r="AV9" s="53" t="s">
        <v>139</v>
      </c>
      <c r="AW9" s="53" t="s">
        <v>139</v>
      </c>
      <c r="AX9" s="53" t="s">
        <v>139</v>
      </c>
      <c r="AY9" s="53" t="s">
        <v>139</v>
      </c>
      <c r="AZ9" s="53" t="s">
        <v>139</v>
      </c>
      <c r="BA9" s="53" t="s">
        <v>139</v>
      </c>
      <c r="BB9" s="53" t="s">
        <v>139</v>
      </c>
      <c r="BC9" s="53" t="s">
        <v>139</v>
      </c>
      <c r="BD9" s="53" t="s">
        <v>139</v>
      </c>
      <c r="BE9" s="53" t="s">
        <v>139</v>
      </c>
    </row>
    <row r="10" spans="1:57">
      <c r="B10" s="54" t="s">
        <v>546</v>
      </c>
      <c r="C10" s="54" t="s">
        <v>546</v>
      </c>
      <c r="D10" s="54" t="s">
        <v>546</v>
      </c>
      <c r="E10" s="54" t="s">
        <v>546</v>
      </c>
      <c r="F10" s="54" t="s">
        <v>546</v>
      </c>
      <c r="G10" s="54" t="s">
        <v>546</v>
      </c>
      <c r="H10" s="54" t="s">
        <v>546</v>
      </c>
      <c r="I10" s="54" t="s">
        <v>546</v>
      </c>
      <c r="J10" s="54" t="s">
        <v>546</v>
      </c>
      <c r="K10" s="54" t="s">
        <v>546</v>
      </c>
      <c r="L10" s="54" t="s">
        <v>546</v>
      </c>
      <c r="M10" s="54" t="s">
        <v>546</v>
      </c>
      <c r="N10" s="54" t="s">
        <v>546</v>
      </c>
      <c r="O10" s="54" t="s">
        <v>546</v>
      </c>
      <c r="P10" s="54" t="s">
        <v>546</v>
      </c>
      <c r="Q10" s="54" t="s">
        <v>298</v>
      </c>
      <c r="R10" s="54" t="s">
        <v>298</v>
      </c>
      <c r="S10" s="54" t="s">
        <v>547</v>
      </c>
      <c r="T10" s="54" t="s">
        <v>547</v>
      </c>
      <c r="U10" s="54" t="s">
        <v>547</v>
      </c>
      <c r="V10" s="54" t="s">
        <v>547</v>
      </c>
      <c r="W10" s="54" t="s">
        <v>547</v>
      </c>
      <c r="X10" s="54" t="s">
        <v>547</v>
      </c>
      <c r="Y10" s="54" t="s">
        <v>547</v>
      </c>
      <c r="Z10" s="54" t="s">
        <v>547</v>
      </c>
      <c r="AA10" s="54" t="s">
        <v>547</v>
      </c>
      <c r="AB10" s="54" t="s">
        <v>547</v>
      </c>
      <c r="AC10" s="54" t="s">
        <v>547</v>
      </c>
      <c r="AD10" s="54" t="s">
        <v>547</v>
      </c>
      <c r="AE10" s="54" t="s">
        <v>547</v>
      </c>
      <c r="AF10" s="54" t="s">
        <v>547</v>
      </c>
      <c r="AG10" s="54" t="s">
        <v>547</v>
      </c>
      <c r="AH10" s="54" t="s">
        <v>546</v>
      </c>
      <c r="AI10" s="54" t="s">
        <v>546</v>
      </c>
      <c r="AJ10" s="54" t="s">
        <v>374</v>
      </c>
      <c r="AK10" s="54" t="s">
        <v>296</v>
      </c>
      <c r="AL10" s="54" t="s">
        <v>597</v>
      </c>
      <c r="AM10" s="54" t="s">
        <v>597</v>
      </c>
      <c r="AN10" s="54" t="s">
        <v>597</v>
      </c>
      <c r="AO10" s="54" t="s">
        <v>298</v>
      </c>
      <c r="AP10" s="54" t="s">
        <v>143</v>
      </c>
      <c r="AQ10" s="54" t="s">
        <v>298</v>
      </c>
      <c r="AR10" s="54" t="s">
        <v>546</v>
      </c>
      <c r="AS10" s="54" t="s">
        <v>546</v>
      </c>
      <c r="AT10" s="54" t="s">
        <v>143</v>
      </c>
      <c r="AU10" s="54" t="s">
        <v>143</v>
      </c>
      <c r="AV10" s="54" t="s">
        <v>143</v>
      </c>
      <c r="AW10" s="54" t="s">
        <v>143</v>
      </c>
      <c r="AX10" s="54" t="s">
        <v>143</v>
      </c>
      <c r="AY10" s="54" t="s">
        <v>143</v>
      </c>
      <c r="AZ10" s="54" t="s">
        <v>143</v>
      </c>
      <c r="BA10" s="54" t="s">
        <v>143</v>
      </c>
      <c r="BB10" s="54" t="s">
        <v>143</v>
      </c>
      <c r="BC10" s="54" t="s">
        <v>298</v>
      </c>
      <c r="BD10" s="54" t="s">
        <v>544</v>
      </c>
      <c r="BE10" s="54" t="s">
        <v>544</v>
      </c>
    </row>
    <row r="15" spans="1:57">
      <c r="BB15" s="55"/>
    </row>
  </sheetData>
  <mergeCells count="44">
    <mergeCell ref="B3:P3"/>
    <mergeCell ref="S3:AG3"/>
    <mergeCell ref="AL3:AQ3"/>
    <mergeCell ref="AR3:AS3"/>
    <mergeCell ref="AT3:BB3"/>
    <mergeCell ref="C4:F4"/>
    <mergeCell ref="H4:K4"/>
    <mergeCell ref="M4:P4"/>
    <mergeCell ref="T4:W4"/>
    <mergeCell ref="Y4:AB4"/>
    <mergeCell ref="AD4:AG4"/>
    <mergeCell ref="A3:A5"/>
    <mergeCell ref="B4:B5"/>
    <mergeCell ref="G4:G5"/>
    <mergeCell ref="L4:L5"/>
    <mergeCell ref="Q3:Q5"/>
    <mergeCell ref="R3:R5"/>
    <mergeCell ref="S4:S5"/>
    <mergeCell ref="X4:X5"/>
    <mergeCell ref="AC4:AC5"/>
    <mergeCell ref="AH3:AH5"/>
    <mergeCell ref="AI3:AI5"/>
    <mergeCell ref="AJ3:AJ5"/>
    <mergeCell ref="AK4:AK5"/>
    <mergeCell ref="AL4:AL5"/>
    <mergeCell ref="AM4:AM5"/>
    <mergeCell ref="AN4:AN5"/>
    <mergeCell ref="AO4:AO5"/>
    <mergeCell ref="AP4:AP5"/>
    <mergeCell ref="AQ4:AQ5"/>
    <mergeCell ref="AR4:AR5"/>
    <mergeCell ref="AS4:AS5"/>
    <mergeCell ref="AT4:AT5"/>
    <mergeCell ref="AU4:AU5"/>
    <mergeCell ref="AV4:AV5"/>
    <mergeCell ref="AW4:AW5"/>
    <mergeCell ref="AX4:AX5"/>
    <mergeCell ref="AY4:AY5"/>
    <mergeCell ref="AZ4:AZ5"/>
    <mergeCell ref="BA4:BA5"/>
    <mergeCell ref="BB4:BB5"/>
    <mergeCell ref="BC3:BC5"/>
    <mergeCell ref="BD3:BD5"/>
    <mergeCell ref="BE3:BE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D26" sqref="D26"/>
    </sheetView>
  </sheetViews>
  <sheetFormatPr defaultColWidth="9" defaultRowHeight="13.5" outlineLevelRow="1"/>
  <cols>
    <col min="1" max="1" width="17.375" customWidth="1"/>
    <col min="2" max="2" width="9.625" customWidth="1"/>
    <col min="4" max="4" width="18.625" customWidth="1"/>
    <col min="6" max="6" width="11.8583333333333" customWidth="1"/>
    <col min="7" max="7" width="14.75" customWidth="1"/>
    <col min="8" max="8" width="37.4916666666667" customWidth="1"/>
    <col min="9" max="9" width="22.75" customWidth="1"/>
    <col min="10" max="10" width="19.375" customWidth="1"/>
    <col min="11" max="11" width="17.75" customWidth="1"/>
  </cols>
  <sheetData>
    <row r="1" s="14" customFormat="1" ht="26" customHeight="1" spans="1:11">
      <c r="A1" s="16" t="s">
        <v>65</v>
      </c>
      <c r="B1" s="24" t="s">
        <v>598</v>
      </c>
      <c r="C1" s="24" t="s">
        <v>599</v>
      </c>
      <c r="D1" s="25" t="s">
        <v>600</v>
      </c>
      <c r="E1" s="26" t="s">
        <v>601</v>
      </c>
      <c r="F1" s="24" t="s">
        <v>602</v>
      </c>
      <c r="G1" s="27" t="s">
        <v>603</v>
      </c>
      <c r="H1" s="28" t="s">
        <v>604</v>
      </c>
      <c r="I1" s="28" t="s">
        <v>605</v>
      </c>
      <c r="J1" s="28" t="s">
        <v>606</v>
      </c>
      <c r="K1" s="28" t="s">
        <v>607</v>
      </c>
    </row>
    <row r="2" ht="25" customHeight="1" spans="1:11">
      <c r="A2" s="3" t="s">
        <v>131</v>
      </c>
      <c r="B2" s="3" t="s">
        <v>608</v>
      </c>
      <c r="C2" s="3" t="s">
        <v>609</v>
      </c>
      <c r="D2" s="3" t="s">
        <v>610</v>
      </c>
      <c r="E2" s="3" t="s">
        <v>611</v>
      </c>
      <c r="F2" s="3" t="s">
        <v>611</v>
      </c>
      <c r="G2" s="3" t="s">
        <v>612</v>
      </c>
      <c r="H2" s="3">
        <v>20</v>
      </c>
      <c r="I2" s="3">
        <v>10.2</v>
      </c>
      <c r="J2" s="3">
        <v>5</v>
      </c>
      <c r="K2" s="3">
        <v>10</v>
      </c>
    </row>
  </sheetData>
  <dataValidations count="4">
    <dataValidation type="list" allowBlank="1" showInputMessage="1" showErrorMessage="1" sqref="E1">
      <formula1>"专科,本科,硕士及以上"</formula1>
    </dataValidation>
    <dataValidation type="list" allowBlank="1" showInputMessage="1" showErrorMessage="1" sqref="D$1:D$1048576">
      <formula1>"临床技能中心主任,临床技能中心副主任,管理人员,培训教师"</formula1>
    </dataValidation>
    <dataValidation type="list" allowBlank="1" showInputMessage="1" showErrorMessage="1" sqref="F1:F2">
      <formula1>"博士,硕士,学士,无学位"</formula1>
    </dataValidation>
    <dataValidation type="list" allowBlank="1" showInputMessage="1" showErrorMessage="1" sqref="G$1:G$1048576">
      <formula1>"主任医师,主任护师,主任技师,主任药师,副主任医师,副主任护师,副主任技师,副主任药师,主治医师,主管护师,主管技师,主管药师,住院医师,护师,技师,药师,医士,护士,技士,药士,主管医师"</formula1>
    </dataValidation>
  </dataValidations>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
  <sheetViews>
    <sheetView topLeftCell="B1" workbookViewId="0">
      <selection activeCell="E39" sqref="E39"/>
    </sheetView>
  </sheetViews>
  <sheetFormatPr defaultColWidth="9" defaultRowHeight="13.5" outlineLevelRow="1"/>
  <cols>
    <col min="1" max="1" width="21.475" customWidth="1"/>
    <col min="2" max="2" width="15.7" customWidth="1"/>
    <col min="3" max="3" width="10.875" customWidth="1"/>
    <col min="4" max="5" width="19.8666666666667" customWidth="1"/>
    <col min="6" max="6" width="11.875" customWidth="1"/>
    <col min="7" max="7" width="11.5" customWidth="1"/>
    <col min="8" max="8" width="14.2666666666667" customWidth="1"/>
    <col min="9" max="9" width="17.9416666666667" customWidth="1"/>
    <col min="10" max="10" width="17.3" customWidth="1"/>
    <col min="11" max="11" width="15.375" customWidth="1"/>
    <col min="12" max="12" width="17.7916666666667" customWidth="1"/>
    <col min="13" max="13" width="19.25" customWidth="1"/>
    <col min="14" max="14" width="11.25" customWidth="1"/>
    <col min="15" max="15" width="10.25" customWidth="1"/>
  </cols>
  <sheetData>
    <row r="1" ht="18" customHeight="1" spans="1:15">
      <c r="A1" s="9" t="s">
        <v>65</v>
      </c>
      <c r="B1" s="9" t="s">
        <v>613</v>
      </c>
      <c r="C1" s="10" t="s">
        <v>598</v>
      </c>
      <c r="D1" s="10" t="s">
        <v>599</v>
      </c>
      <c r="E1" s="9" t="s">
        <v>614</v>
      </c>
      <c r="F1" s="9" t="s">
        <v>615</v>
      </c>
      <c r="G1" s="9" t="s">
        <v>616</v>
      </c>
      <c r="H1" s="19" t="s">
        <v>601</v>
      </c>
      <c r="I1" s="1" t="s">
        <v>617</v>
      </c>
      <c r="J1" s="20" t="s">
        <v>603</v>
      </c>
      <c r="K1" s="20" t="s">
        <v>618</v>
      </c>
      <c r="L1" s="21" t="s">
        <v>619</v>
      </c>
      <c r="M1" s="22" t="s">
        <v>620</v>
      </c>
      <c r="N1" s="1" t="s">
        <v>621</v>
      </c>
      <c r="O1" s="1" t="s">
        <v>622</v>
      </c>
    </row>
    <row r="2" ht="22" customHeight="1" spans="1:15">
      <c r="A2" s="3" t="s">
        <v>131</v>
      </c>
      <c r="B2" s="3" t="s">
        <v>242</v>
      </c>
      <c r="C2" s="3" t="s">
        <v>608</v>
      </c>
      <c r="D2" s="3" t="s">
        <v>609</v>
      </c>
      <c r="E2" s="23">
        <v>32520</v>
      </c>
      <c r="F2" s="23" t="s">
        <v>623</v>
      </c>
      <c r="G2" s="3">
        <v>36</v>
      </c>
      <c r="H2" s="3" t="s">
        <v>624</v>
      </c>
      <c r="I2" s="3" t="s">
        <v>625</v>
      </c>
      <c r="J2" s="3" t="s">
        <v>612</v>
      </c>
      <c r="K2" s="3" t="s">
        <v>626</v>
      </c>
      <c r="L2" s="3" t="s">
        <v>627</v>
      </c>
      <c r="M2" s="3" t="s">
        <v>289</v>
      </c>
      <c r="N2" s="3" t="s">
        <v>289</v>
      </c>
      <c r="O2" s="3" t="s">
        <v>289</v>
      </c>
    </row>
  </sheetData>
  <dataValidations count="6">
    <dataValidation type="list" allowBlank="1" showInputMessage="1" showErrorMessage="1" sqref="J1">
      <formula1>"正高级,副高级,中级,初级"</formula1>
    </dataValidation>
    <dataValidation type="list" allowBlank="1" showInputMessage="1" showErrorMessage="1" sqref="J2">
      <formula1>"主任医师,主任护师,主任技师,主任药师,副主任医师,副主任护师,副主任技师,副主任药师,主治医师,主管护师,主管技师,主管药师,住院医师,护师,技师,药师,医士,护士,技士,药士,主管医师"</formula1>
    </dataValidation>
    <dataValidation type="list" allowBlank="1" showInputMessage="1" showErrorMessage="1" sqref="H$1:H$1048576">
      <formula1>"专科,本科,硕士研究生,博士研究生"</formula1>
    </dataValidation>
    <dataValidation type="list" allowBlank="1" showInputMessage="1" showErrorMessage="1" sqref="K$1:K$1048576">
      <formula1>"教授,副教授,讲师,助教,无"</formula1>
    </dataValidation>
    <dataValidation type="list" allowBlank="1" showInputMessage="1" showErrorMessage="1" sqref="L$1:L$1048576">
      <formula1>"理论教学,实践教学,理论+实践"</formula1>
    </dataValidation>
    <dataValidation type="list" allowBlank="1" showInputMessage="1" showErrorMessage="1" sqref="M$1:M$1048576">
      <formula1>"是,否"</formula1>
    </dataValidation>
  </dataValidations>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workbookViewId="0">
      <selection activeCell="J17" sqref="J17"/>
    </sheetView>
  </sheetViews>
  <sheetFormatPr defaultColWidth="9" defaultRowHeight="13.5" outlineLevelRow="2"/>
  <cols>
    <col min="1" max="1" width="20.625" customWidth="1"/>
    <col min="2" max="2" width="11.125" customWidth="1"/>
    <col min="3" max="3" width="13.45" customWidth="1"/>
    <col min="4" max="4" width="24.8333333333333" customWidth="1"/>
    <col min="5" max="5" width="22.275" customWidth="1"/>
    <col min="6" max="6" width="19.0583333333333" customWidth="1"/>
    <col min="7" max="7" width="18.425" customWidth="1"/>
    <col min="8" max="8" width="23.3833333333333" customWidth="1"/>
    <col min="9" max="9" width="13.75" customWidth="1"/>
  </cols>
  <sheetData>
    <row r="1" ht="34" customHeight="1" spans="1:9">
      <c r="A1" s="18" t="s">
        <v>628</v>
      </c>
      <c r="B1" s="18"/>
      <c r="C1" s="18"/>
      <c r="D1" s="18"/>
      <c r="E1" s="18"/>
      <c r="F1" s="18"/>
      <c r="G1" s="18"/>
      <c r="H1" s="18"/>
      <c r="I1" s="18"/>
    </row>
    <row r="2" ht="18" customHeight="1" spans="1:9">
      <c r="A2" s="9" t="s">
        <v>65</v>
      </c>
      <c r="B2" s="10" t="s">
        <v>598</v>
      </c>
      <c r="C2" s="10" t="s">
        <v>599</v>
      </c>
      <c r="D2" s="9" t="s">
        <v>629</v>
      </c>
      <c r="E2" s="11" t="s">
        <v>630</v>
      </c>
      <c r="F2" s="12" t="s">
        <v>631</v>
      </c>
      <c r="G2" s="12" t="s">
        <v>632</v>
      </c>
      <c r="H2" s="12" t="s">
        <v>633</v>
      </c>
      <c r="I2" s="12" t="s">
        <v>634</v>
      </c>
    </row>
    <row r="3" ht="19" customHeight="1" spans="1:9">
      <c r="A3" s="3" t="s">
        <v>131</v>
      </c>
      <c r="B3" s="3" t="s">
        <v>608</v>
      </c>
      <c r="C3" s="3" t="s">
        <v>609</v>
      </c>
      <c r="D3" s="3" t="s">
        <v>231</v>
      </c>
      <c r="E3" s="3" t="s">
        <v>289</v>
      </c>
      <c r="F3" s="13">
        <v>44994</v>
      </c>
      <c r="G3" s="3" t="s">
        <v>625</v>
      </c>
      <c r="H3" s="3" t="s">
        <v>635</v>
      </c>
      <c r="I3" s="3" t="s">
        <v>636</v>
      </c>
    </row>
  </sheetData>
  <mergeCells count="1">
    <mergeCell ref="A1:I1"/>
  </mergeCells>
  <dataValidations count="2">
    <dataValidation type="list" allowBlank="1" showInputMessage="1" showErrorMessage="1" sqref="I2">
      <formula1>"院内师资培训,校级师资培训,市州级师资培训,省级师资培训,国家级师资培训"</formula1>
    </dataValidation>
    <dataValidation type="list" allowBlank="1" showInputMessage="1" showErrorMessage="1" sqref="I3:I1048576">
      <formula1>"院内师资培训,校级师资培训,省级师资培训,国家级师资培训"</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F39" sqref="F39"/>
    </sheetView>
  </sheetViews>
  <sheetFormatPr defaultColWidth="9" defaultRowHeight="13.5" outlineLevelRow="1" outlineLevelCol="7"/>
  <cols>
    <col min="1" max="1" width="19.25" customWidth="1"/>
    <col min="2" max="2" width="14.625" customWidth="1"/>
    <col min="3" max="3" width="13.25" style="6" customWidth="1"/>
    <col min="5" max="5" width="13.375" customWidth="1"/>
    <col min="6" max="6" width="12.75" customWidth="1"/>
    <col min="7" max="7" width="24.75" customWidth="1"/>
    <col min="8" max="8" width="46.375" customWidth="1"/>
  </cols>
  <sheetData>
    <row r="1" ht="20" customHeight="1" spans="1:8">
      <c r="A1" s="12" t="s">
        <v>65</v>
      </c>
      <c r="B1" s="12" t="s">
        <v>637</v>
      </c>
      <c r="C1" s="17" t="s">
        <v>638</v>
      </c>
      <c r="D1" s="12" t="s">
        <v>639</v>
      </c>
      <c r="E1" s="12" t="s">
        <v>640</v>
      </c>
      <c r="F1" s="12" t="s">
        <v>641</v>
      </c>
      <c r="G1" s="12" t="s">
        <v>642</v>
      </c>
      <c r="H1" s="12" t="s">
        <v>643</v>
      </c>
    </row>
    <row r="2" ht="19" customHeight="1" spans="1:8">
      <c r="A2" s="3" t="s">
        <v>131</v>
      </c>
      <c r="B2" s="3" t="s">
        <v>644</v>
      </c>
      <c r="C2" s="5">
        <v>45664</v>
      </c>
      <c r="D2" s="3" t="s">
        <v>645</v>
      </c>
      <c r="E2" s="3" t="s">
        <v>646</v>
      </c>
      <c r="F2" s="3" t="s">
        <v>609</v>
      </c>
      <c r="G2" s="3" t="s">
        <v>647</v>
      </c>
      <c r="H2" s="3" t="s">
        <v>648</v>
      </c>
    </row>
  </sheetData>
  <dataValidations count="1">
    <dataValidation type="list" allowBlank="1" showInputMessage="1" showErrorMessage="1" sqref="B$1:B$1048576">
      <formula1>"入院岗前培训,入科岗前培训"</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workbookViewId="0">
      <selection activeCell="D41" sqref="D41"/>
    </sheetView>
  </sheetViews>
  <sheetFormatPr defaultColWidth="9" defaultRowHeight="13.5" outlineLevelRow="1"/>
  <cols>
    <col min="1" max="1" width="21.15" customWidth="1"/>
    <col min="2" max="2" width="14.9" customWidth="1"/>
    <col min="3" max="3" width="15.3833333333333" customWidth="1"/>
    <col min="4" max="4" width="35.8916666666667" customWidth="1"/>
    <col min="5" max="5" width="13.3" customWidth="1"/>
    <col min="6" max="6" width="13.1416666666667" customWidth="1"/>
    <col min="7" max="7" width="11.125" customWidth="1"/>
    <col min="8" max="8" width="9" hidden="1" customWidth="1"/>
    <col min="9" max="9" width="16.3333333333333" customWidth="1"/>
    <col min="10" max="10" width="10.575" customWidth="1"/>
  </cols>
  <sheetData>
    <row r="1" s="14" customFormat="1" ht="25" customHeight="1" spans="1:10">
      <c r="A1" s="16" t="s">
        <v>65</v>
      </c>
      <c r="B1" s="16" t="s">
        <v>598</v>
      </c>
      <c r="C1" s="16" t="s">
        <v>599</v>
      </c>
      <c r="D1" s="16" t="s">
        <v>649</v>
      </c>
      <c r="E1" s="16" t="s">
        <v>600</v>
      </c>
      <c r="F1" s="16" t="s">
        <v>601</v>
      </c>
      <c r="G1" s="16" t="s">
        <v>602</v>
      </c>
      <c r="H1" s="16" t="s">
        <v>650</v>
      </c>
      <c r="I1" s="16" t="s">
        <v>603</v>
      </c>
      <c r="J1" s="16" t="s">
        <v>651</v>
      </c>
    </row>
    <row r="2" ht="19" customHeight="1" spans="1:10">
      <c r="A2" s="3" t="s">
        <v>131</v>
      </c>
      <c r="B2" s="3" t="s">
        <v>608</v>
      </c>
      <c r="C2" s="3" t="s">
        <v>609</v>
      </c>
      <c r="D2" s="3" t="s">
        <v>652</v>
      </c>
      <c r="E2" s="3" t="s">
        <v>653</v>
      </c>
      <c r="F2" s="3" t="s">
        <v>611</v>
      </c>
      <c r="G2" s="3" t="s">
        <v>611</v>
      </c>
      <c r="H2" s="3"/>
      <c r="I2" s="3" t="s">
        <v>612</v>
      </c>
      <c r="J2" s="3" t="s">
        <v>645</v>
      </c>
    </row>
  </sheetData>
  <dataValidations count="7">
    <dataValidation type="list" allowBlank="1" showInputMessage="1" showErrorMessage="1" sqref="E1">
      <formula1>"教研室主任,教研室副主任,管理人员,培训教师"</formula1>
    </dataValidation>
    <dataValidation type="list" allowBlank="1" showInputMessage="1" showErrorMessage="1" sqref="F1">
      <formula1>"专科,本科,硕士及以上"</formula1>
    </dataValidation>
    <dataValidation type="list" allowBlank="1" showInputMessage="1" showErrorMessage="1" sqref="H1">
      <formula1>"教授,副教授,讲师,助教,其他正高级,其他副高级,其他中级,其他初级,无"</formula1>
    </dataValidation>
    <dataValidation type="list" allowBlank="1" showInputMessage="1" showErrorMessage="1" sqref="D$1:D$1048576">
      <formula1>"内科,外科,妇产科,儿科,护理,医技,其他：请在备注栏填写科室名称"</formula1>
    </dataValidation>
    <dataValidation type="list" allowBlank="1" showInputMessage="1" showErrorMessage="1" sqref="E2:E1048576">
      <formula1>"教研室主任,教研室副主任,管理人员"</formula1>
    </dataValidation>
    <dataValidation type="list" allowBlank="1" showInputMessage="1" showErrorMessage="1" sqref="G$1:G$1048576">
      <formula1>"博士,硕士,学士,无学位"</formula1>
    </dataValidation>
    <dataValidation type="list" allowBlank="1" showInputMessage="1" showErrorMessage="1" sqref="I$1:I$1048576">
      <formula1>"主任医师,主任护师,主任技师,主任药师,副主任医师,副主任护师,副主任技师,副主任药师,主治医师,主管技师,主管技师,主管药师,住院医师,护师,技师,药师,医士,护士,技士,药士,主管医师"</formula1>
    </dataValidation>
  </dataValidations>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E40" sqref="E40"/>
    </sheetView>
  </sheetViews>
  <sheetFormatPr defaultColWidth="9.23333333333333" defaultRowHeight="13.5" outlineLevelRow="1" outlineLevelCol="7"/>
  <cols>
    <col min="1" max="1" width="20.1833333333333" customWidth="1"/>
    <col min="2" max="2" width="15.0583333333333" customWidth="1"/>
    <col min="3" max="3" width="17.6166666666667" customWidth="1"/>
    <col min="5" max="5" width="16.5" customWidth="1"/>
    <col min="6" max="6" width="17.3" customWidth="1"/>
    <col min="7" max="7" width="27.2416666666667" customWidth="1"/>
    <col min="8" max="8" width="51.9166666666667" customWidth="1"/>
  </cols>
  <sheetData>
    <row r="1" ht="25" customHeight="1" spans="1:8">
      <c r="A1" s="12" t="s">
        <v>65</v>
      </c>
      <c r="B1" s="12" t="s">
        <v>654</v>
      </c>
      <c r="C1" s="17" t="s">
        <v>638</v>
      </c>
      <c r="D1" s="12" t="s">
        <v>639</v>
      </c>
      <c r="E1" s="12" t="s">
        <v>640</v>
      </c>
      <c r="F1" s="12" t="s">
        <v>641</v>
      </c>
      <c r="G1" s="12" t="s">
        <v>642</v>
      </c>
      <c r="H1" s="12" t="s">
        <v>643</v>
      </c>
    </row>
    <row r="2" ht="23" customHeight="1" spans="1:8">
      <c r="A2" s="3" t="s">
        <v>131</v>
      </c>
      <c r="B2" s="3" t="s">
        <v>655</v>
      </c>
      <c r="C2" s="5">
        <v>45664</v>
      </c>
      <c r="D2" s="3" t="s">
        <v>645</v>
      </c>
      <c r="E2" s="3" t="s">
        <v>646</v>
      </c>
      <c r="F2" s="3" t="s">
        <v>609</v>
      </c>
      <c r="G2" s="3" t="s">
        <v>647</v>
      </c>
      <c r="H2" s="3" t="s">
        <v>648</v>
      </c>
    </row>
  </sheetData>
  <dataValidations count="1">
    <dataValidation type="list" allowBlank="1" showInputMessage="1" showErrorMessage="1" sqref="B$1:B$1048576">
      <formula1>"院级,教研室"</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workbookViewId="0">
      <selection activeCell="L11" sqref="L11"/>
    </sheetView>
  </sheetViews>
  <sheetFormatPr defaultColWidth="9" defaultRowHeight="13.5" outlineLevelRow="1"/>
  <cols>
    <col min="1" max="1" width="18.5833333333333" style="15" customWidth="1"/>
    <col min="2" max="2" width="14.8916666666667" style="15" customWidth="1"/>
    <col min="3" max="3" width="9.625" style="15" customWidth="1"/>
    <col min="4" max="4" width="16.0166666666667" style="15" customWidth="1"/>
    <col min="5" max="5" width="18.1083333333333" style="15" customWidth="1"/>
    <col min="6" max="7" width="9" style="15"/>
    <col min="8" max="8" width="12.65" style="15" customWidth="1"/>
    <col min="9" max="9" width="17.95" style="15" customWidth="1"/>
    <col min="10" max="10" width="21.15" style="15" customWidth="1"/>
    <col min="11" max="11" width="20.5083333333333" style="15" customWidth="1"/>
    <col min="12" max="12" width="25.6333333333333" customWidth="1"/>
  </cols>
  <sheetData>
    <row r="1" s="14" customFormat="1" ht="23" customHeight="1" spans="1:12">
      <c r="A1" s="16" t="s">
        <v>65</v>
      </c>
      <c r="B1" s="16" t="s">
        <v>598</v>
      </c>
      <c r="C1" s="16" t="s">
        <v>599</v>
      </c>
      <c r="D1" s="16" t="s">
        <v>656</v>
      </c>
      <c r="E1" s="16" t="s">
        <v>657</v>
      </c>
      <c r="F1" s="16" t="s">
        <v>600</v>
      </c>
      <c r="G1" s="16" t="s">
        <v>601</v>
      </c>
      <c r="H1" s="16" t="s">
        <v>602</v>
      </c>
      <c r="I1" s="16" t="s">
        <v>603</v>
      </c>
      <c r="J1" s="16" t="s">
        <v>658</v>
      </c>
      <c r="K1" s="16" t="s">
        <v>659</v>
      </c>
      <c r="L1" s="16" t="s">
        <v>660</v>
      </c>
    </row>
    <row r="2" ht="24" customHeight="1" spans="1:12">
      <c r="A2" s="3" t="s">
        <v>131</v>
      </c>
      <c r="B2" s="3" t="s">
        <v>608</v>
      </c>
      <c r="C2" s="3" t="s">
        <v>609</v>
      </c>
      <c r="D2" s="3" t="s">
        <v>661</v>
      </c>
      <c r="E2" s="3" t="s">
        <v>228</v>
      </c>
      <c r="F2" s="3" t="s">
        <v>293</v>
      </c>
      <c r="G2" s="3" t="s">
        <v>662</v>
      </c>
      <c r="H2" s="3" t="s">
        <v>663</v>
      </c>
      <c r="I2" s="3" t="s">
        <v>612</v>
      </c>
      <c r="J2" s="3" t="s">
        <v>289</v>
      </c>
      <c r="K2" s="3" t="s">
        <v>664</v>
      </c>
      <c r="L2" s="3" t="s">
        <v>289</v>
      </c>
    </row>
  </sheetData>
  <dataValidations count="7">
    <dataValidation type="list" allowBlank="1" showInputMessage="1" showErrorMessage="1" sqref="I2">
      <formula1>"主任医师,主任护师,主任技师,主任药师,副主任医师,副主任护师,副主任技师,副主任药师,主治医师,主管护师,主管技师,主管药师,住院医师,护师,技师,药师,医士,护士,技士,药士,主管医师"</formula1>
    </dataValidation>
    <dataValidation type="list" allowBlank="1" showInputMessage="1" showErrorMessage="1" sqref="D$1:D$1048576">
      <formula1>"一般学生管理人员,本科生辅导员,教学管理人员,教学督导人员,教研室主任,教研室副主任,教学秘书"</formula1>
    </dataValidation>
    <dataValidation type="list" allowBlank="1" showInputMessage="1" showErrorMessage="1" sqref="E$1:E$1048576">
      <formula1>"教学管理科,科研管理科,学生管理科"</formula1>
    </dataValidation>
    <dataValidation type="list" allowBlank="1" showInputMessage="1" showErrorMessage="1" sqref="G$1:G$1048576">
      <formula1>"专科,本科,硕士及以上"</formula1>
    </dataValidation>
    <dataValidation type="list" allowBlank="1" showInputMessage="1" showErrorMessage="1" sqref="H$1:H$1048576">
      <formula1>"博士,硕士,学士,无学位"</formula1>
    </dataValidation>
    <dataValidation type="list" allowBlank="1" showInputMessage="1" showErrorMessage="1" sqref="J$1:J$1048576 L$1:L$1048576">
      <formula1>"是,否"</formula1>
    </dataValidation>
    <dataValidation type="list" allowBlank="1" showInputMessage="1" showErrorMessage="1" sqref="K$1:K$1048576">
      <formula1>"临床医学背景,非临床医学背景的其他医学背景,非医学背景"</formula1>
    </dataValidation>
  </dataValidations>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D33" sqref="D33"/>
    </sheetView>
  </sheetViews>
  <sheetFormatPr defaultColWidth="9" defaultRowHeight="13.5" outlineLevelRow="1" outlineLevelCol="7"/>
  <cols>
    <col min="1" max="1" width="18.4333333333333" customWidth="1"/>
    <col min="2" max="2" width="14.7416666666667" customWidth="1"/>
    <col min="3" max="3" width="15.6916666666667" customWidth="1"/>
    <col min="4" max="4" width="25" customWidth="1"/>
    <col min="5" max="5" width="19" customWidth="1"/>
    <col min="6" max="6" width="18.5833333333333" customWidth="1"/>
    <col min="7" max="7" width="23.375" customWidth="1"/>
    <col min="8" max="8" width="24.025" customWidth="1"/>
  </cols>
  <sheetData>
    <row r="1" ht="22" customHeight="1" spans="1:8">
      <c r="A1" s="9" t="s">
        <v>65</v>
      </c>
      <c r="B1" s="10" t="s">
        <v>598</v>
      </c>
      <c r="C1" s="10" t="s">
        <v>599</v>
      </c>
      <c r="D1" s="9" t="s">
        <v>629</v>
      </c>
      <c r="E1" s="11" t="s">
        <v>630</v>
      </c>
      <c r="F1" s="12" t="s">
        <v>665</v>
      </c>
      <c r="G1" s="12" t="s">
        <v>666</v>
      </c>
      <c r="H1" s="12" t="s">
        <v>667</v>
      </c>
    </row>
    <row r="2" ht="21" customHeight="1" spans="1:8">
      <c r="A2" s="3" t="s">
        <v>131</v>
      </c>
      <c r="B2" s="3" t="s">
        <v>608</v>
      </c>
      <c r="C2" s="3" t="s">
        <v>609</v>
      </c>
      <c r="D2" s="3" t="s">
        <v>231</v>
      </c>
      <c r="E2" s="3" t="s">
        <v>289</v>
      </c>
      <c r="F2" s="13">
        <v>44994</v>
      </c>
      <c r="G2" s="3" t="s">
        <v>625</v>
      </c>
      <c r="H2" s="3"/>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D38" sqref="D38"/>
    </sheetView>
  </sheetViews>
  <sheetFormatPr defaultColWidth="9" defaultRowHeight="13.5" outlineLevelRow="1" outlineLevelCol="7"/>
  <cols>
    <col min="1" max="1" width="17.5" customWidth="1"/>
    <col min="2" max="2" width="18" customWidth="1"/>
    <col min="3" max="3" width="14.125" customWidth="1"/>
    <col min="4" max="4" width="24" customWidth="1"/>
    <col min="5" max="5" width="13.75" customWidth="1"/>
    <col min="7" max="7" width="14.5" customWidth="1"/>
    <col min="8" max="8" width="46.375" customWidth="1"/>
  </cols>
  <sheetData>
    <row r="1" ht="26" customHeight="1" spans="1:8">
      <c r="A1" s="1" t="s">
        <v>65</v>
      </c>
      <c r="B1" s="1" t="s">
        <v>668</v>
      </c>
      <c r="C1" s="1" t="s">
        <v>598</v>
      </c>
      <c r="D1" s="1" t="s">
        <v>669</v>
      </c>
      <c r="E1" s="1" t="s">
        <v>670</v>
      </c>
      <c r="F1" s="1" t="s">
        <v>671</v>
      </c>
      <c r="G1" s="2" t="s">
        <v>672</v>
      </c>
      <c r="H1" s="1" t="s">
        <v>651</v>
      </c>
    </row>
    <row r="2" ht="23" customHeight="1" spans="1:8">
      <c r="A2" s="3" t="s">
        <v>131</v>
      </c>
      <c r="B2" s="3" t="s">
        <v>609</v>
      </c>
      <c r="C2" s="3" t="s">
        <v>608</v>
      </c>
      <c r="D2" s="4" t="s">
        <v>673</v>
      </c>
      <c r="E2" s="4" t="s">
        <v>674</v>
      </c>
      <c r="F2" s="4" t="s">
        <v>675</v>
      </c>
      <c r="G2" s="5">
        <v>44572</v>
      </c>
      <c r="H2" s="8" t="s">
        <v>676</v>
      </c>
    </row>
  </sheetData>
  <dataValidations count="1">
    <dataValidation type="list" allowBlank="1" showInputMessage="1" showErrorMessage="1" sqref="F1:F2">
      <formula1>"国家级,省部级,厅局级,校级"</formula1>
    </dataValidation>
  </dataValidation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workbookViewId="0">
      <selection activeCell="B26" sqref="B26"/>
    </sheetView>
  </sheetViews>
  <sheetFormatPr defaultColWidth="9" defaultRowHeight="13.5" outlineLevelRow="1"/>
  <cols>
    <col min="1" max="1" width="15.5" customWidth="1"/>
    <col min="2" max="2" width="31.875" customWidth="1"/>
    <col min="3" max="3" width="18.875" customWidth="1"/>
    <col min="4" max="4" width="12.875" customWidth="1"/>
    <col min="5" max="5" width="14.25" customWidth="1"/>
    <col min="6" max="6" width="12" customWidth="1"/>
    <col min="7" max="7" width="15.625" style="6" customWidth="1"/>
    <col min="8" max="8" width="13.5" customWidth="1"/>
    <col min="9" max="9" width="17.875" customWidth="1"/>
  </cols>
  <sheetData>
    <row r="1" ht="18" customHeight="1" spans="1:10">
      <c r="A1" s="1" t="s">
        <v>65</v>
      </c>
      <c r="B1" s="1" t="s">
        <v>677</v>
      </c>
      <c r="C1" s="1" t="s">
        <v>678</v>
      </c>
      <c r="D1" s="1" t="s">
        <v>679</v>
      </c>
      <c r="E1" s="1" t="s">
        <v>680</v>
      </c>
      <c r="F1" s="1" t="s">
        <v>671</v>
      </c>
      <c r="G1" s="2" t="s">
        <v>681</v>
      </c>
      <c r="H1" s="1" t="s">
        <v>682</v>
      </c>
      <c r="I1" s="1" t="s">
        <v>683</v>
      </c>
      <c r="J1" s="1" t="s">
        <v>651</v>
      </c>
    </row>
    <row r="2" spans="1:10">
      <c r="A2" s="3" t="s">
        <v>131</v>
      </c>
      <c r="B2" s="4" t="s">
        <v>684</v>
      </c>
      <c r="C2" s="4" t="s">
        <v>685</v>
      </c>
      <c r="D2" s="4" t="s">
        <v>609</v>
      </c>
      <c r="E2" s="4" t="s">
        <v>686</v>
      </c>
      <c r="F2" s="4" t="s">
        <v>675</v>
      </c>
      <c r="G2" s="7">
        <v>45356</v>
      </c>
      <c r="H2" s="4">
        <v>5</v>
      </c>
      <c r="I2" s="4">
        <v>8</v>
      </c>
      <c r="J2" s="4" t="s">
        <v>687</v>
      </c>
    </row>
  </sheetData>
  <dataValidations count="2">
    <dataValidation type="list" allowBlank="1" showInputMessage="1" showErrorMessage="1" sqref="C$1:C$1048576">
      <formula1>"科学研究项目,教育教学改革项目"</formula1>
    </dataValidation>
    <dataValidation type="list" allowBlank="1" showInputMessage="1" showErrorMessage="1" sqref="F$1:F$1048576">
      <formula1>"国家级,省部级,厅局级,校级"</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I21" sqref="I21"/>
    </sheetView>
  </sheetViews>
  <sheetFormatPr defaultColWidth="9" defaultRowHeight="13.5" outlineLevelRow="1"/>
  <cols>
    <col min="1" max="1" width="21.125" customWidth="1"/>
    <col min="2" max="2" width="10.75" customWidth="1"/>
    <col min="3" max="3" width="16.875" customWidth="1"/>
    <col min="4" max="4" width="27.75" customWidth="1"/>
    <col min="5" max="5" width="17.25" customWidth="1"/>
    <col min="6" max="6" width="23.625" customWidth="1"/>
    <col min="7" max="7" width="13.875" style="6" customWidth="1"/>
    <col min="8" max="8" width="13" customWidth="1"/>
    <col min="9" max="9" width="20.125" customWidth="1"/>
  </cols>
  <sheetData>
    <row r="1" ht="19" customHeight="1" spans="1:9">
      <c r="A1" s="1" t="s">
        <v>65</v>
      </c>
      <c r="B1" s="1" t="s">
        <v>598</v>
      </c>
      <c r="C1" s="1" t="s">
        <v>688</v>
      </c>
      <c r="D1" s="1" t="s">
        <v>689</v>
      </c>
      <c r="E1" s="1" t="s">
        <v>690</v>
      </c>
      <c r="F1" s="1" t="s">
        <v>691</v>
      </c>
      <c r="G1" s="2" t="s">
        <v>692</v>
      </c>
      <c r="H1" s="2" t="s">
        <v>693</v>
      </c>
      <c r="I1" s="1" t="s">
        <v>651</v>
      </c>
    </row>
    <row r="2" ht="16" customHeight="1" spans="1:9">
      <c r="A2" s="3" t="s">
        <v>131</v>
      </c>
      <c r="B2" s="3" t="s">
        <v>645</v>
      </c>
      <c r="C2" s="3" t="s">
        <v>609</v>
      </c>
      <c r="D2" s="4" t="s">
        <v>694</v>
      </c>
      <c r="E2" s="4" t="s">
        <v>695</v>
      </c>
      <c r="F2" s="4" t="s">
        <v>696</v>
      </c>
      <c r="G2" s="5">
        <v>44572</v>
      </c>
      <c r="H2" s="3" t="s">
        <v>697</v>
      </c>
    </row>
  </sheetData>
  <dataValidations count="3">
    <dataValidation type="list" allowBlank="1" showInputMessage="1" showErrorMessage="1" sqref="H1">
      <formula1>"SCI,SSCI,北大中文核心期刊,科技核心期刊,其他期刊"</formula1>
    </dataValidation>
    <dataValidation type="list" allowBlank="1" showInputMessage="1" showErrorMessage="1" sqref="E$1:E$1048576">
      <formula1>"科学研究论文,教育教学改革研究论文"</formula1>
    </dataValidation>
    <dataValidation type="list" allowBlank="1" showInputMessage="1" showErrorMessage="1" sqref="H2:H1048576">
      <formula1>"SCI,北大中文核心期刊,科技核心期刊,其他期刊"</formula1>
    </dataValidation>
  </dataValidation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N32" sqref="N32"/>
    </sheetView>
  </sheetViews>
  <sheetFormatPr defaultColWidth="9" defaultRowHeight="13.5" outlineLevelRow="1"/>
  <cols>
    <col min="1" max="1" width="17.125" customWidth="1"/>
    <col min="4" max="4" width="27.75" customWidth="1"/>
    <col min="5" max="5" width="11.625" customWidth="1"/>
    <col min="6" max="6" width="14.5" customWidth="1"/>
    <col min="7" max="7" width="15.125" customWidth="1"/>
    <col min="8" max="8" width="16.25" customWidth="1"/>
  </cols>
  <sheetData>
    <row r="1" ht="19" customHeight="1" spans="1:9">
      <c r="A1" s="1" t="s">
        <v>65</v>
      </c>
      <c r="B1" s="1" t="s">
        <v>598</v>
      </c>
      <c r="C1" s="1" t="s">
        <v>599</v>
      </c>
      <c r="D1" s="1" t="s">
        <v>698</v>
      </c>
      <c r="E1" s="1" t="s">
        <v>699</v>
      </c>
      <c r="F1" s="1" t="s">
        <v>700</v>
      </c>
      <c r="G1" s="1" t="s">
        <v>671</v>
      </c>
      <c r="H1" s="2" t="s">
        <v>672</v>
      </c>
      <c r="I1" s="1" t="s">
        <v>651</v>
      </c>
    </row>
    <row r="2" ht="21" customHeight="1" spans="1:9">
      <c r="A2" s="3" t="s">
        <v>131</v>
      </c>
      <c r="B2" s="3" t="s">
        <v>645</v>
      </c>
      <c r="C2" s="3" t="s">
        <v>609</v>
      </c>
      <c r="D2" s="4" t="s">
        <v>694</v>
      </c>
      <c r="E2" s="4" t="s">
        <v>674</v>
      </c>
      <c r="F2" s="4"/>
      <c r="G2" s="4" t="s">
        <v>675</v>
      </c>
      <c r="H2" s="5">
        <v>44572</v>
      </c>
    </row>
  </sheetData>
  <dataValidations count="1">
    <dataValidation type="list" allowBlank="1" showInputMessage="1" showErrorMessage="1" sqref="G$1:G$1048576">
      <formula1>"国家级,省部级,厅局级,校级"</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18</vt:i4>
      </vt:variant>
    </vt:vector>
  </HeadingPairs>
  <TitlesOfParts>
    <vt:vector size="18" baseType="lpstr">
      <vt:lpstr>Ⅰ-1 临床教学部-基本信息</vt:lpstr>
      <vt:lpstr>Ⅰ-2 临床教学部-组织管理与机构建设</vt:lpstr>
      <vt:lpstr>Ⅰ-3 临床教学部-教学保障</vt:lpstr>
      <vt:lpstr>Ⅰ-4 临床教学部-教学运行与质量评价</vt:lpstr>
      <vt:lpstr>Ⅱ 学生管理科</vt:lpstr>
      <vt:lpstr>Ⅲ 科研管理科</vt:lpstr>
      <vt:lpstr>附表1 临床教学部-临床技能中心人员名单</vt:lpstr>
      <vt:lpstr>附表2 临床教学部-师资队伍（填报医师名单）</vt:lpstr>
      <vt:lpstr>附表3 临床教学部-师资培训统计</vt:lpstr>
      <vt:lpstr>附表4 临床教学部-岗前培训</vt:lpstr>
      <vt:lpstr>附表5 教研室-人员名单</vt:lpstr>
      <vt:lpstr>附表6 教研室-实习讲座</vt:lpstr>
      <vt:lpstr>附表7 教学管理科-教学管理人员汇总</vt:lpstr>
      <vt:lpstr>附表8 教学管理科-学术交流</vt:lpstr>
      <vt:lpstr>附表9 教学管理科-竞赛</vt:lpstr>
      <vt:lpstr>附表10 科研管理科-项目申报获批</vt:lpstr>
      <vt:lpstr>附表11 科研管理科-论文发表</vt:lpstr>
      <vt:lpstr>附表12  科研管理科-成果申报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lily</cp:lastModifiedBy>
  <dcterms:created xsi:type="dcterms:W3CDTF">2025-03-26T22:26:00Z</dcterms:created>
  <dcterms:modified xsi:type="dcterms:W3CDTF">2026-04-24T06:44:31Z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129DF70CAB3A47B4A8CC013AF4017CB7_13</vt:lpwstr>
  </property>
  <property fmtid="{D5CDD505-2E9C-101B-9397-08002B2CF9AE}" pid="3" name="KSOProductBuildVer">
    <vt:lpwstr>2052-12.1.0.25865</vt:lpwstr>
  </property>
  <property fmtid="{D5CDD505-2E9C-101B-9397-08002B2CF9AE}" pid="4" name="CalculationRule">
    <vt:i4>0</vt:i4>
  </property>
</Properties>
</file>